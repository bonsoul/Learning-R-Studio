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rancis Motiri\"/>
    </mc:Choice>
  </mc:AlternateContent>
  <xr:revisionPtr revIDLastSave="0" documentId="8_{96256E65-E180-4957-897B-F943439F1D6F}" xr6:coauthVersionLast="47" xr6:coauthVersionMax="47" xr10:uidLastSave="{00000000-0000-0000-0000-000000000000}"/>
  <bookViews>
    <workbookView xWindow="-120" yWindow="-120" windowWidth="20730" windowHeight="11760" activeTab="1" xr2:uid="{31129B9C-ECFF-4BAE-910F-61F4403F7909}"/>
  </bookViews>
  <sheets>
    <sheet name="Demographic" sheetId="1" r:id="rId1"/>
    <sheet name="DemographicsDetailed" sheetId="2" r:id="rId2"/>
    <sheet name="CountryOfTraining" sheetId="3" r:id="rId3"/>
    <sheet name="FacilityOwnershipAndFacility" sheetId="4" r:id="rId4"/>
    <sheet name="Inflows&amp;Outflows" sheetId="5" r:id="rId5"/>
    <sheet name="SourceType" sheetId="6" r:id="rId6"/>
    <sheet name="TypeOfContract" sheetId="7" r:id="rId7"/>
    <sheet name="Validation" sheetId="8" state="hidden" r:id="rId8"/>
    <sheet name="Metadata" sheetId="9" state="hidden" r:id="rId9"/>
  </sheets>
  <externalReferences>
    <externalReference r:id="rId10"/>
  </externalReferences>
  <definedNames>
    <definedName name="_a0csXCPXx1W">Metadata!$C$359</definedName>
    <definedName name="_a0Tb0vzKk1m">Metadata!$C$1087</definedName>
    <definedName name="_a2xwzp8oVHw">Metadata!$C$589</definedName>
    <definedName name="_A3k9S8n5UDB">Metadata!$C$840</definedName>
    <definedName name="_A5bhyAmcZKV">Metadata!$C$555</definedName>
    <definedName name="_a5ii3ZTvZJl">Metadata!$C$62</definedName>
    <definedName name="_A7vlGlMOCQi">Metadata!$C$606</definedName>
    <definedName name="_a7y6M6RSlfA">Metadata!$C$472</definedName>
    <definedName name="_A8qvwcGQ7oR">Metadata!$C$379</definedName>
    <definedName name="_A8ZYkf5BTQ1">Metadata!$C$614</definedName>
    <definedName name="_abfQV1VOf3t">Metadata!$C$225</definedName>
    <definedName name="_aBKbsKeMhM6">Metadata!$C$78</definedName>
    <definedName name="_abpFZulJ2EI">Metadata!$C$895</definedName>
    <definedName name="_ABy98AXLIvi">Metadata!$C$451</definedName>
    <definedName name="_ac1IouPLQqe">Metadata!$C$565</definedName>
    <definedName name="_ACalScnrl2I">Metadata!$C$1168</definedName>
    <definedName name="_acxdJCjXxeg">Metadata!$C$859</definedName>
    <definedName name="_ADfCJWnnU2O">Metadata!$C$597</definedName>
    <definedName name="_aDt6BJ6G5Vh">Metadata!$C$935</definedName>
    <definedName name="_Adzexk8xbzD">Metadata!$C$1303</definedName>
    <definedName name="_ae8CH5krsam">Metadata!$C$201</definedName>
    <definedName name="_aeEH9WsPkWk">Metadata!$C$786</definedName>
    <definedName name="_AFIorEPU00q">Metadata!$C$1089</definedName>
    <definedName name="_ag1Rvst0gJY">Metadata!$C$920</definedName>
    <definedName name="_Agh3IhNPIxF">Metadata!$C$582</definedName>
    <definedName name="_AgjjsN3UJiv">Metadata!$C$970</definedName>
    <definedName name="_AGWxyqGhgfk">Metadata!$C$607</definedName>
    <definedName name="_ahER1ix3fxr">Metadata!$C$74</definedName>
    <definedName name="_AifBdH1NgTt">Metadata!$C$955</definedName>
    <definedName name="_AJBfDthkySs">Metadata!$C$1078</definedName>
    <definedName name="_AjeCGGb8H76">Metadata!$C$1072</definedName>
    <definedName name="_Ajnw1b8m6eL">Metadata!$C$1181</definedName>
    <definedName name="_Ak4QGxirDXg">Metadata!$C$764</definedName>
    <definedName name="_aLiNAjoAsDt">Metadata!$C$679</definedName>
    <definedName name="_AlxUCNc8gwW">Metadata!$C$326</definedName>
    <definedName name="_amPTixaGdsP">Metadata!$C$915</definedName>
    <definedName name="_ANELZaDsI6L">Metadata!$C$754</definedName>
    <definedName name="_aNIrqpwcKXv">Metadata!$C$1282</definedName>
    <definedName name="_AO3H3mBW9zD">Metadata!$C$899</definedName>
    <definedName name="_aoq4jeGV5NM">Metadata!$C$640</definedName>
    <definedName name="_aotiqu4EAWq">Metadata!$C$203</definedName>
    <definedName name="_aOYOo12rVAs">Metadata!$C$289</definedName>
    <definedName name="_apVWLKfARpb">Metadata!$C$1144</definedName>
    <definedName name="_aqX2gD5zuya">Metadata!$C$944</definedName>
    <definedName name="_arZWO8Ag3iO">Metadata!$C$484</definedName>
    <definedName name="_atZNVujwdt4">Metadata!$C$502</definedName>
    <definedName name="_AtZVwbugSqv">Metadata!$C$387</definedName>
    <definedName name="_aujJ0EVKWer">Metadata!$C$980</definedName>
    <definedName name="_aurZ2kUa2St">Metadata!$C$149</definedName>
    <definedName name="_AUStREIxT4s">Metadata!$C$1142</definedName>
    <definedName name="_av3fkpFxEXj">Metadata!$C$1294</definedName>
    <definedName name="_aVL32L9ycAJ">Metadata!$C$488</definedName>
    <definedName name="_AVOrdyQXSal">Metadata!$C$193</definedName>
    <definedName name="_AYWCbVecRKQ">Metadata!$C$1289</definedName>
    <definedName name="_aZ7Bm5L90rn">Metadata!$C$1232</definedName>
    <definedName name="_AZCkBzUZgTr">Metadata!$C$427</definedName>
    <definedName name="_AZdPnw0b1lm">Metadata!$C$1047</definedName>
    <definedName name="_aZKKBa26tmF">Metadata!$C$294</definedName>
    <definedName name="_B3fcwYE45w6">Metadata!$C$779</definedName>
    <definedName name="_B4iWc3gcDcn">Metadata!$C$1191</definedName>
    <definedName name="_b4XQdI8eqUZ">Metadata!$C$549</definedName>
    <definedName name="_B64oGrmyCqm">Metadata!$C$898</definedName>
    <definedName name="_B6FjV9qz5Dk">Metadata!$C$1027</definedName>
    <definedName name="_b6rUObqK3w6">Metadata!$C$619</definedName>
    <definedName name="_B8UngZ8uwD2">Metadata!$C$645</definedName>
    <definedName name="_BbvMZojIbKI">Metadata!$C$224</definedName>
    <definedName name="_Bc3mYAhlY1a">Metadata!$C$1148</definedName>
    <definedName name="_bcIh7bdXz7D">Metadata!$C$208</definedName>
    <definedName name="_bcy4159FETR">Metadata!$C$1175</definedName>
    <definedName name="_BE32i8A9IOr">Metadata!$C$749</definedName>
    <definedName name="_BgJoMJEnaO1">Metadata!$C$423</definedName>
    <definedName name="_bGWaeVBrOcc">Metadata!$C$1075</definedName>
    <definedName name="_BhB6xxjMYIm">Metadata!$C$1017</definedName>
    <definedName name="_bhkJDAiqVKX">Metadata!$C$1138</definedName>
    <definedName name="_bj9TvyIDtwi">Metadata!$C$699</definedName>
    <definedName name="_BjNwmw0Wupe">Metadata!$C$971</definedName>
    <definedName name="_BkdpZQISAQE">Metadata!$C$703</definedName>
    <definedName name="_BKNhBq1RiwZ">Metadata!$C$798</definedName>
    <definedName name="_bl1Lht78Dt0">Metadata!$C$1025</definedName>
    <definedName name="_blA5KNE6nZO">Metadata!$C$711</definedName>
    <definedName name="_blaeng4GF8s">Metadata!$C$511</definedName>
    <definedName name="_BlC8wOVHBlb">Metadata!$C$1233</definedName>
    <definedName name="_BLpPqpMtgQY">Metadata!$C$1123</definedName>
    <definedName name="_bmaxDrrFSqz">Metadata!$C$366</definedName>
    <definedName name="_BmTVMvJHVBO">Metadata!$C$1177</definedName>
    <definedName name="_bMUYGz0AcDJ">Metadata!$C$884</definedName>
    <definedName name="_BnCaf6ZXM1P">Metadata!$C$338</definedName>
    <definedName name="_bnQX2QIuIY9">Metadata!$C$1119</definedName>
    <definedName name="_Bon3xyAAWKf">Metadata!$C$1185</definedName>
    <definedName name="_bpXR1fc95s1">Metadata!$C$932</definedName>
    <definedName name="_bq00aLH9OPk">Metadata!$C$238</definedName>
    <definedName name="_brISQQxW1xp">Metadata!$C$422</definedName>
    <definedName name="_BrtoXLjA4pi">Metadata!$C$91</definedName>
    <definedName name="_bs0ARZBxDgC">Metadata!$C$545</definedName>
    <definedName name="_bSvvw3Ms4BE">Metadata!$C$425</definedName>
    <definedName name="_btcWCYP4hid">Metadata!$C$762</definedName>
    <definedName name="_BUdUZqtYtwA">Metadata!$C$948</definedName>
    <definedName name="_bUGq4WaBHUD">Metadata!$C$460</definedName>
    <definedName name="_buSEeeViTo3">Metadata!$C$1302</definedName>
    <definedName name="_buui1dux4hq">Metadata!$C$937</definedName>
    <definedName name="_bvyjEfI0d2V">Metadata!$C$1166</definedName>
    <definedName name="_BVzmce6DVeS">Metadata!$C$1132</definedName>
    <definedName name="_ByA5wj8IJyQ">Metadata!$C$491</definedName>
    <definedName name="_bYXQMVmauLD">Metadata!$C$525</definedName>
    <definedName name="_ByXuVj0h8L4">Metadata!$C$243</definedName>
    <definedName name="_C1oMSkmD5am">Metadata!$C$450</definedName>
    <definedName name="_c4JWYSERnO2">Metadata!$C$542</definedName>
    <definedName name="_c6wdOD1RyCZ">Metadata!$C$1004</definedName>
    <definedName name="_C7jmannlc7B">Metadata!$C$8</definedName>
    <definedName name="_c82mDnhUQly">Metadata!$C$1066</definedName>
    <definedName name="_c9WexKHjrHc">Metadata!$C$781</definedName>
    <definedName name="_CaEJOAbJqM8">Metadata!$C$673</definedName>
    <definedName name="_cCgL3J7Lsgn">Metadata!$C$1248</definedName>
    <definedName name="_CCl7hAqlrmE">Metadata!$C$1104</definedName>
    <definedName name="_cdilUoXzwL6">Metadata!$C$1038</definedName>
    <definedName name="_cDnBDmJhson">Metadata!$C$3</definedName>
    <definedName name="_CduVOiDWxlt">Metadata!$C$635</definedName>
    <definedName name="_ceEkHibtVb7">Metadata!$C$836</definedName>
    <definedName name="_cEeWRyOhOqP">Metadata!$C$629</definedName>
    <definedName name="_cfBaKMnsXd1">Metadata!$C$1207</definedName>
    <definedName name="_cfTgv8GDYXQ">Metadata!$C$37</definedName>
    <definedName name="_CFWkO0BIhm8">Metadata!$C$584</definedName>
    <definedName name="_CFX91cqbCf3">Metadata!$C$879</definedName>
    <definedName name="_cg1DEEIeZ9N">Metadata!$C$300</definedName>
    <definedName name="_CgSQbBinEGy">Metadata!$C$868</definedName>
    <definedName name="_CHDhDdoiJ5N">Metadata!$C$947</definedName>
    <definedName name="_ChqxKtGrHVA">Metadata!$C$137</definedName>
    <definedName name="_chzRB2FreBe">Metadata!$C$376</definedName>
    <definedName name="_CItSIKE9O9w">Metadata!$C$839</definedName>
    <definedName name="_cIyw7ChjlgG">Metadata!$C$197</definedName>
    <definedName name="_cJU4qStc9QT">Metadata!$C$1268</definedName>
    <definedName name="_CKuOrdb6yS7">Metadata!$C$928</definedName>
    <definedName name="_cMLHJtYTW40">Metadata!$C$710</definedName>
    <definedName name="_CnreQmZbCwP">Metadata!$C$38</definedName>
    <definedName name="_cnxVb8H17tm">Metadata!$C$44</definedName>
    <definedName name="_coCbn8mJeHv">Metadata!$C$914</definedName>
    <definedName name="_COs48yLdDvg">Metadata!$C$1199</definedName>
    <definedName name="_CPiewpRETZ2">Metadata!$C$824</definedName>
    <definedName name="_cpmmPDsQ3uG">Metadata!$C$1063</definedName>
    <definedName name="_CPmuUXWouRA">Metadata!$C$94</definedName>
    <definedName name="_CpUti69L5aW">Metadata!$C$159</definedName>
    <definedName name="_CqGT5VjDx2p">Metadata!$C$737</definedName>
    <definedName name="_cROoQk16jlH">Metadata!$C$87</definedName>
    <definedName name="_cRWrIpjzvVl">Metadata!$C$1136</definedName>
    <definedName name="_cs7H0NFWgV1">Metadata!$C$80</definedName>
    <definedName name="_cSqX4ymZmHA">Metadata!$C$365</definedName>
    <definedName name="_cTz9crtzdvU">Metadata!$C$116</definedName>
    <definedName name="_cukiq4gvnKu">Metadata!$C$299</definedName>
    <definedName name="_CUmZXLC1FrK">Metadata!$C$34</definedName>
    <definedName name="_CVhecwG7dZH">Metadata!$C$157</definedName>
    <definedName name="_cWrL45je7mw">Metadata!$C$1048</definedName>
    <definedName name="_cxmJyqa1T5C">Metadata!$C$48</definedName>
    <definedName name="_cxRqR2lVtM7">Metadata!$C$763</definedName>
    <definedName name="_cyNh11xykuJ">Metadata!$C$154</definedName>
    <definedName name="_cZ8823L0fLJ">Metadata!$C$1188</definedName>
    <definedName name="_D2jYg0gfya0">Metadata!$C$447</definedName>
    <definedName name="_D2MFGJKtc1Y">Metadata!$C$189</definedName>
    <definedName name="_d3IcPgQbeH5">Metadata!$C$133</definedName>
    <definedName name="_D4JnxOsqwE4">Metadata!$C$1169</definedName>
    <definedName name="_D7qUWJoK9kP">Metadata!$C$1019</definedName>
    <definedName name="_dAREsnanSp5">Metadata!$C$689</definedName>
    <definedName name="_DC17owNKnOo">Metadata!$C$16</definedName>
    <definedName name="_DCAJyToy1TA">Metadata!$C$483</definedName>
    <definedName name="_ddCUz3SshxU">Metadata!$C$829</definedName>
    <definedName name="_DeDi7rft4BB">Metadata!$C$178</definedName>
    <definedName name="_dFWlhArOcXj">Metadata!$C$61</definedName>
    <definedName name="_dFzLXEnIAvJ">Metadata!$C$882</definedName>
    <definedName name="_DgWsmHVv1JM">Metadata!$C$378</definedName>
    <definedName name="_Di6q414Mk6h">Metadata!$C$125</definedName>
    <definedName name="_DiZ4xWoiBwI">Metadata!$C$445</definedName>
    <definedName name="_dkORIS1sEMv">Metadata!$C$804</definedName>
    <definedName name="_dlPCzWe5TS1">Metadata!$C$959</definedName>
    <definedName name="_dm67bKt2Veu">Metadata!$C$448</definedName>
    <definedName name="_DMyxTSpvKOp">Metadata!$C$567</definedName>
    <definedName name="_DNEZnY8mN9a">Metadata!$C$797</definedName>
    <definedName name="_dNLjKwsVjod">Metadata!$C$1055</definedName>
    <definedName name="_DOa51SvSShy">Metadata!$C$646</definedName>
    <definedName name="_dpcvWc01CeN">Metadata!$C$1068</definedName>
    <definedName name="_dplV0gzW0ea">Metadata!$C$795</definedName>
    <definedName name="_DqCmuPyyEKP">Metadata!$C$399</definedName>
    <definedName name="_dQY65eVM9jB">Metadata!$C$841</definedName>
    <definedName name="_DqZNrSSZ2S0">Metadata!$C$23</definedName>
    <definedName name="_drJDZnHzeBH">Metadata!$C$656</definedName>
    <definedName name="_dscgTvwyCw8">Metadata!$C$1076</definedName>
    <definedName name="_DSefi5x6sWB">Metadata!$C$580</definedName>
    <definedName name="_dTCOMljlITC">Metadata!$C$255</definedName>
    <definedName name="_DUM8AqRoBQh">Metadata!$C$844</definedName>
    <definedName name="_dutH7uvTAut">Metadata!$C$529</definedName>
    <definedName name="_dvNINMJZS3V">Metadata!$C$52</definedName>
    <definedName name="_DVnpk4xiXGJ">Metadata!$C$1256</definedName>
    <definedName name="_DvUGMtSaXNy">Metadata!$C$1018</definedName>
    <definedName name="_DwYskq1riRd">Metadata!$C$900</definedName>
    <definedName name="_dxbj7q8MNNf">Metadata!$C$32</definedName>
    <definedName name="_DxJhkCTyPPs">Metadata!$C$934</definedName>
    <definedName name="_dyBI6HTR04N">Metadata!$C$615</definedName>
    <definedName name="_dYKAIYSnLue">Metadata!$C$394</definedName>
    <definedName name="_DyPeahMx1ww">Metadata!$C$788</definedName>
    <definedName name="_DzAOqCf0ots">Metadata!$C$1060</definedName>
    <definedName name="_DzAVo6vLt1C">Metadata!$C$988</definedName>
    <definedName name="_Dzsq1pwIHqF">Metadata!$C$535</definedName>
    <definedName name="_e0qvyzapmu3">Metadata!$C$10</definedName>
    <definedName name="_e2G8l2GXMCi">Metadata!$C$403</definedName>
    <definedName name="_e32KJz6JDNr">Metadata!$C$66</definedName>
    <definedName name="_e3ba55rLVTZ">Metadata!$C$437</definedName>
    <definedName name="_E3tKGZMq4Tn">Metadata!$C$808</definedName>
    <definedName name="_E6yC5xp14iQ">Metadata!$C$176</definedName>
    <definedName name="_e7mFNsyiTtQ">Metadata!$C$309</definedName>
    <definedName name="_E9G2aQpCs1A">Metadata!$C$1129</definedName>
    <definedName name="_e9IoKRAkYLO">Metadata!$C$1051</definedName>
    <definedName name="_e9thFQZbFg5">Metadata!$C$337</definedName>
    <definedName name="_eA4qiSbPKdb">Metadata!$C$216</definedName>
    <definedName name="_EB4aSZN0eQr">Metadata!$C$1184</definedName>
    <definedName name="_ec8BXAwrBTh">Metadata!$C$320</definedName>
    <definedName name="_EDHO4qOyY88">Metadata!$C$1103</definedName>
    <definedName name="_EDPtZbCSShb">Metadata!$C$747</definedName>
    <definedName name="_ee1Hn2wJnM0">Metadata!$C$838</definedName>
    <definedName name="_eEQkLvHHoSU">Metadata!$C$14</definedName>
    <definedName name="_EEZGLQRHQDr">Metadata!$C$143</definedName>
    <definedName name="_efCfb5edDjv">Metadata!$C$616</definedName>
    <definedName name="_EGLpIMSAWhx">Metadata!$C$1124</definedName>
    <definedName name="_eGtL8nwtSKq">Metadata!$C$833</definedName>
    <definedName name="_ehNfKt5LpG9">Metadata!$C$1154</definedName>
    <definedName name="_EHRN1PJaEfH">Metadata!$C$329</definedName>
    <definedName name="_EhXjWmnNPjO">Metadata!$C$681</definedName>
    <definedName name="_EIh0f0A4G1N">Metadata!$C$392</definedName>
    <definedName name="_EiN0OWdHFxO">Metadata!$C$499</definedName>
    <definedName name="_eIv6kzcg3Dr">Metadata!$C$939</definedName>
    <definedName name="_ejrzC4bEJ5R">Metadata!$C$29</definedName>
    <definedName name="_EkG2Du5D5qU">Metadata!$C$834</definedName>
    <definedName name="_EKWgav1YgFc">Metadata!$C$283</definedName>
    <definedName name="_ElwEWppmGgv">Metadata!$C$1156</definedName>
    <definedName name="_eMX8cocS1J5">Metadata!$C$952</definedName>
    <definedName name="_EnJ3dnowitV">Metadata!$C$815</definedName>
    <definedName name="_EnoivPEWUMM">Metadata!$C$292</definedName>
    <definedName name="_enrjtKkx6PG">Metadata!$C$637</definedName>
    <definedName name="_EOdyM2Jq6eh">Metadata!$C$566</definedName>
    <definedName name="_EojH3xtSttx">Metadata!$C$51</definedName>
    <definedName name="_eOwKCkmSUOO">Metadata!$C$526</definedName>
    <definedName name="_eP4EDcfclsH">Metadata!$C$110</definedName>
    <definedName name="_EPjTph0oE8r">Metadata!$C$694</definedName>
    <definedName name="_eQqPLgjcG16">Metadata!$C$918</definedName>
    <definedName name="_er7MPiN3tdH">Metadata!$C$1257</definedName>
    <definedName name="_ERAgsIEBM5o">Metadata!$C$272</definedName>
    <definedName name="_ES9xDNLOKtZ">Metadata!$C$722</definedName>
    <definedName name="_ESi2uY4Gqn1">Metadata!$C$685</definedName>
    <definedName name="_Et2p1cf7EeZ">Metadata!$C$461</definedName>
    <definedName name="_EubjsxqlA4d">Metadata!$C$1179</definedName>
    <definedName name="_EugP2KVsM7Q">Metadata!$C$660</definedName>
    <definedName name="_eVEK7djdWqV">Metadata!$C$1274</definedName>
    <definedName name="_eVp1pvRfPKS">Metadata!$C$1295</definedName>
    <definedName name="_eWjpUQpzWKX">Metadata!$C$716</definedName>
    <definedName name="_eWlZ0JPdgiX">Metadata!$C$308</definedName>
    <definedName name="_Exg37zi5bC6">Metadata!$C$803</definedName>
    <definedName name="_eXmcYNVuuUY">Metadata!$C$442</definedName>
    <definedName name="_eyvitcZL4ex">Metadata!$C$1133</definedName>
    <definedName name="_ez5XnYzGvay">Metadata!$C$99</definedName>
    <definedName name="_Ez9t3jLrVkh">Metadata!$C$1023</definedName>
    <definedName name="_ezAgi6u5Qta">Metadata!$C$501</definedName>
    <definedName name="_f0djIPxZ9VG">Metadata!$C$845</definedName>
    <definedName name="_F0fAfMzFdw1">Metadata!$C$953</definedName>
    <definedName name="_f2XAafiQede">Metadata!$C$590</definedName>
    <definedName name="_F3kCvhpDnMM">Metadata!$C$757</definedName>
    <definedName name="_f3uPMHGZ9T5">Metadata!$C$1024</definedName>
    <definedName name="_f4ZFD2aswys">Metadata!$C$1045</definedName>
    <definedName name="_F59E3s3oEOr">Metadata!$C$698</definedName>
    <definedName name="_f75GbjjbQo6">Metadata!$C$396</definedName>
    <definedName name="_F8ml1qKvZIY">Metadata!$C$231</definedName>
    <definedName name="_F9DOHQaJYfU">Metadata!$C$564</definedName>
    <definedName name="_F9K5WaAkE1J">Metadata!$C$930</definedName>
    <definedName name="_FA3nDd4psmk">Metadata!$C$100</definedName>
    <definedName name="_fAb4itKc1ZM">Metadata!$C$594</definedName>
    <definedName name="_false">Metadata!$C$1305</definedName>
    <definedName name="_FAoaZdPdq90">Metadata!$C$160</definedName>
    <definedName name="_fEck0UnAFaV">Metadata!$C$349</definedName>
    <definedName name="_feoDuRjZweV">Metadata!$C$705</definedName>
    <definedName name="_fF22gizcjdT">Metadata!$C$929</definedName>
    <definedName name="_fg8TSIHSGHX">Metadata!$C$1126</definedName>
    <definedName name="_Fgp2erpoOMQ">Metadata!$C$307</definedName>
    <definedName name="_fHaKXfcKthe">Metadata!$C$1218</definedName>
    <definedName name="_fHXW26zg2U6">Metadata!$C$1152</definedName>
    <definedName name="_Fi5lLVwe1Th">Metadata!$C$1111</definedName>
    <definedName name="_fIlPGTXBCUm">Metadata!$C$1300</definedName>
    <definedName name="_fJBWZdiQ1Vj">Metadata!$C$667</definedName>
    <definedName name="_FJi9JUh9a2f">Metadata!$C$926</definedName>
    <definedName name="_fkrzFaeuYDn">Metadata!$C$1293</definedName>
    <definedName name="_Fm2HakleZ27">Metadata!$C$328</definedName>
    <definedName name="_fmNedNy1Dz4">Metadata!$C$523</definedName>
    <definedName name="_FN2u125TSGN">Metadata!$C$1015</definedName>
    <definedName name="_fn91BEPSaGY">Metadata!$C$256</definedName>
    <definedName name="_FNduj2N3e8s">Metadata!$C$1240</definedName>
    <definedName name="_FOJUXD6f6lB">Metadata!$C$1178</definedName>
    <definedName name="_fPDuFoFWUr3">Metadata!$C$746</definedName>
    <definedName name="_Fq9qs6Kn6wN">Metadata!$C$1130</definedName>
    <definedName name="_fqPqYs1WW22">Metadata!$C$269</definedName>
    <definedName name="_FU6JZtf1IOo">Metadata!$C$227</definedName>
    <definedName name="_Fu9cXCCTPU5">Metadata!$C$950</definedName>
    <definedName name="_fUCZtV4BiIH">Metadata!$C$318</definedName>
    <definedName name="_FUieyovDec8">Metadata!$C$1251</definedName>
    <definedName name="_fWtFTYJAf3L">Metadata!$C$866</definedName>
    <definedName name="_FxGf8jMM8D1">Metadata!$C$810</definedName>
    <definedName name="_FXGfkCMrBqo">Metadata!$C$527</definedName>
    <definedName name="_fYeClLy8K2x">Metadata!$C$1272</definedName>
    <definedName name="_fYmPwpZRDGZ">Metadata!$C$887</definedName>
    <definedName name="_FZmk1UVPIqJ">Metadata!$C$510</definedName>
    <definedName name="_G037PAPU5dO">Metadata!$C$1176</definedName>
    <definedName name="_g2hJEzpZfH1">Metadata!$C$605</definedName>
    <definedName name="_G34jrX7TcVv">Metadata!$C$119</definedName>
    <definedName name="_G3thRWUQAX9">Metadata!$C$1114</definedName>
    <definedName name="_g49fuSiB623">Metadata!$C$1147</definedName>
    <definedName name="_G4eIchdhtRG">Metadata!$C$863</definedName>
    <definedName name="_G4NTIrtM8sA">Metadata!$C$434</definedName>
    <definedName name="_G4ovW8h2nds">Metadata!$C$869</definedName>
    <definedName name="_G8FCnT37gyb">Metadata!$C$1210</definedName>
    <definedName name="_G9o5ad4oJJX">Metadata!$C$1141</definedName>
    <definedName name="_g9WyLxpr1E2">Metadata!$C$538</definedName>
    <definedName name="_Gan3VYicAWe">Metadata!$C$1193</definedName>
    <definedName name="_gb7vWtO7Wjp">Metadata!$C$1301</definedName>
    <definedName name="_gb8YWtxeYVR">Metadata!$C$724</definedName>
    <definedName name="_Gba6kTIsDrV">Metadata!$C$904</definedName>
    <definedName name="_gbKjZ4XRb78">Metadata!$C$941</definedName>
    <definedName name="_GC5rlUksCqm">Metadata!$C$755</definedName>
    <definedName name="_gczUvPeuphw">Metadata!$C$925</definedName>
    <definedName name="_GeB8aO0VMdh">Metadata!$C$541</definedName>
    <definedName name="_gEnofzKU8FV">Metadata!$C$314</definedName>
    <definedName name="_GFfMM55sVzg">Metadata!$C$40</definedName>
    <definedName name="_gg9DH7dvdeD">Metadata!$C$1135</definedName>
    <definedName name="_Gi4BzUhTjYb">Metadata!$C$480</definedName>
    <definedName name="_Gi5YLztjtyB">Metadata!$C$489</definedName>
    <definedName name="_GJUbT5P29ol">Metadata!$C$360</definedName>
    <definedName name="_GKkncWAOs8H">Metadata!$C$636</definedName>
    <definedName name="_GKnY5V4PkhM">Metadata!$C$249</definedName>
    <definedName name="_GkT2M3jxh7F">Metadata!$C$690</definedName>
    <definedName name="_GLcIfpRWf5S">Metadata!$C$1014</definedName>
    <definedName name="_gLjLQFU5iGR">Metadata!$C$405</definedName>
    <definedName name="_gm3SPYN1Kox">Metadata!$C$343</definedName>
    <definedName name="_GmeuB9HTitg">Metadata!$C$965</definedName>
    <definedName name="_gMz0MxjZcEt">Metadata!$C$1172</definedName>
    <definedName name="_Gnz4lqrVEMf">Metadata!$C$1283</definedName>
    <definedName name="_goxjwhLBh98">Metadata!$C$49</definedName>
    <definedName name="_GPyOOoIby8R">Metadata!$C$1231</definedName>
    <definedName name="_GrU8zQv510v">Metadata!$C$1277</definedName>
    <definedName name="_gsbHTvgB2ve">Metadata!$C$587</definedName>
    <definedName name="_GSHgapGzSnl">Metadata!$C$748</definedName>
    <definedName name="_GSIxPs4LKUL">Metadata!$C$972</definedName>
    <definedName name="_GSwM6L4ZPsB">Metadata!$C$789</definedName>
    <definedName name="_Gt3WTdWYUeJ">Metadata!$C$219</definedName>
    <definedName name="_GuIr410uu6E">Metadata!$C$104</definedName>
    <definedName name="_GVeTUYRwWNF">Metadata!$C$695</definedName>
    <definedName name="_gvFoQrCkLc2">Metadata!$C$709</definedName>
    <definedName name="_Gvox4WmLiYC">Metadata!$C$1286</definedName>
    <definedName name="_gw5tmOlsYne">Metadata!$C$916</definedName>
    <definedName name="_GWQBgBHdbbp">Metadata!$C$1160</definedName>
    <definedName name="_gWxbpG09atk">Metadata!$C$444</definedName>
    <definedName name="_GXDCQoGj6T3">Metadata!$C$156</definedName>
    <definedName name="_gxepwyvRxbV">Metadata!$C$593</definedName>
    <definedName name="_gxi9jcBYyrL">Metadata!$C$1167</definedName>
    <definedName name="_gXsLaaEjWb4">Metadata!$C$84</definedName>
    <definedName name="_gybBvP7vbBl">Metadata!$C$239</definedName>
    <definedName name="_GYmXWDOK6w7">Metadata!$C$115</definedName>
    <definedName name="_GZTChYSePoP">Metadata!$C$577</definedName>
    <definedName name="_h0mNqlvj5B0">Metadata!$C$331</definedName>
    <definedName name="_h13bMS86rtI">Metadata!$C$232</definedName>
    <definedName name="_h3kClMEpMAy">Metadata!$C$95</definedName>
    <definedName name="_h4ujJZZaiUT">Metadata!$C$856</definedName>
    <definedName name="_H68Cr5CXfUE">Metadata!$C$15</definedName>
    <definedName name="_h6VJJu0W8U7">Metadata!$C$18</definedName>
    <definedName name="_h7A8N2QpOkV">Metadata!$C$98</definedName>
    <definedName name="_h7OW3TrJ61e">Metadata!$C$531</definedName>
    <definedName name="_H8DnO52iMD9">Metadata!$C$736</definedName>
    <definedName name="_H9hyUA3QPdl">Metadata!$C$144</definedName>
    <definedName name="_H9tYjJ0nzgU">Metadata!$C$103</definedName>
    <definedName name="_H9TZE490EpE">Metadata!$C$760</definedName>
    <definedName name="_HamZOQ3wtl5">Metadata!$C$174</definedName>
    <definedName name="_HankECMMB6D">Metadata!$C$761</definedName>
    <definedName name="_hC2N9T8F5JD">Metadata!$C$666</definedName>
    <definedName name="_hd3EEwIBQ9P">Metadata!$C$416</definedName>
    <definedName name="_HdhmoGCamcH">Metadata!$C$853</definedName>
    <definedName name="_HdK1N3rPeZ1">Metadata!$C$89</definedName>
    <definedName name="_HDN85xUGB65">Metadata!$C$1264</definedName>
    <definedName name="_Hdnrh21ktLV">Metadata!$C$989</definedName>
    <definedName name="_HdwPlhpIWce">Metadata!$C$752</definedName>
    <definedName name="_HeI3osYsbQa">Metadata!$C$404</definedName>
    <definedName name="_HENe5Xv6B7j">Metadata!$C$252</definedName>
    <definedName name="_HfVjCurKxh2">Metadata!$C$1162</definedName>
    <definedName name="_hG1CNbw8wSF">Metadata!$C$1201</definedName>
    <definedName name="_hgGOTFYZxMO">Metadata!$C$1128</definedName>
    <definedName name="_hH5gFw01p2g">Metadata!$C$453</definedName>
    <definedName name="_hhiYH7hH3xx">Metadata!$C$485</definedName>
    <definedName name="_HhQgAcNaKUv">Metadata!$C$121</definedName>
    <definedName name="_hIrci8ms28E">Metadata!$C$718</definedName>
    <definedName name="_hiSNbC7WWAb">Metadata!$C$339</definedName>
    <definedName name="_HizhPCC5Ps5">Metadata!$C$1244</definedName>
    <definedName name="_hjdFz4fLLzw">Metadata!$C$572</definedName>
    <definedName name="_HLgQXol1EPh">Metadata!$C$17</definedName>
    <definedName name="_HmC6k52OuR4">Metadata!$C$9</definedName>
    <definedName name="_HmD6AHanlbO">Metadata!$C$184</definedName>
    <definedName name="_hMrvIBEugrP">Metadata!$C$1011</definedName>
    <definedName name="_hmZE3mVAZFf">Metadata!$C$1073</definedName>
    <definedName name="_hnFSVoNKKBM">Metadata!$C$362</definedName>
    <definedName name="_HP50SIF4Fby">Metadata!$C$700</definedName>
    <definedName name="_hPJQaP7PdYq">Metadata!$C$725</definedName>
    <definedName name="_hpXoMVtJpT3">Metadata!$C$1238</definedName>
    <definedName name="_HQ8aBbw7Qwj">Metadata!$C$867</definedName>
    <definedName name="_hs3mR0ZYVTY">Metadata!$C$960</definedName>
    <definedName name="_Hs4A0KUqMDQ">Metadata!$C$949</definedName>
    <definedName name="_HSgxaTyJ0kK">Metadata!$C$411</definedName>
    <definedName name="_hsNootK2YBV">Metadata!$C$621</definedName>
    <definedName name="_hTbGyO8zzbu">Metadata!$C$187</definedName>
    <definedName name="_hTgpqkx2MAb">Metadata!$C$93</definedName>
    <definedName name="_HU1QlB34WcG">Metadata!$C$179</definedName>
    <definedName name="_huTJERDQhyZ">Metadata!$C$995</definedName>
    <definedName name="_HvDcrobmiCy">Metadata!$C$791</definedName>
    <definedName name="_HwqfuL9pQz5">Metadata!$C$1275</definedName>
    <definedName name="_HX7fBSMCCbL">Metadata!$C$1299</definedName>
    <definedName name="_HYEuE8zV74t">Metadata!$C$1236</definedName>
    <definedName name="_hYvVhwa2Frr">Metadata!$C$162</definedName>
    <definedName name="_HzK449Z1Mop">Metadata!$C$599</definedName>
    <definedName name="_i14E8ggjzvt">Metadata!$C$719</definedName>
    <definedName name="_I3NxIqG7bD4">Metadata!$C$1204</definedName>
    <definedName name="_i3v8r9XNls2">Metadata!$C$1227</definedName>
    <definedName name="_i54ywgixjhp">Metadata!$C$132</definedName>
    <definedName name="_I5C27Tsoc8I">Metadata!$C$185</definedName>
    <definedName name="_I5EztFwNzC0">Metadata!$C$371</definedName>
    <definedName name="_I5Fl6OAe8n6">Metadata!$C$817</definedName>
    <definedName name="_I5v0SqhcWvK">Metadata!$C$490</definedName>
    <definedName name="_i9cf6x7GPgh">Metadata!$C$1030</definedName>
    <definedName name="_IArireTHAtu">Metadata!$C$706</definedName>
    <definedName name="_IbGbsybdeou">Metadata!$C$1223</definedName>
    <definedName name="_ibGsqmiVkoU">Metadata!$C$1161</definedName>
    <definedName name="_ibxHVF1IOea">Metadata!$C$692</definedName>
    <definedName name="_iDHwJraJp3Y">Metadata!$C$438</definedName>
    <definedName name="_idY7moseTTD">Metadata!$C$241</definedName>
    <definedName name="_IFAb1JUZ0Fz">Metadata!$C$1262</definedName>
    <definedName name="_iFaKKDtb7nf">Metadata!$C$1212</definedName>
    <definedName name="_ifKISqV6PJh">Metadata!$C$183</definedName>
    <definedName name="_iGP92WgNuVf">Metadata!$C$57</definedName>
    <definedName name="_IGq57K2U3et">Metadata!$C$591</definedName>
    <definedName name="_IgzM67pvha5">Metadata!$C$410</definedName>
    <definedName name="_IhnQTXo2sCi">Metadata!$C$790</definedName>
    <definedName name="_ihsAfRE2H0G">Metadata!$C$550</definedName>
    <definedName name="_iHzbU9M01XV">Metadata!$C$693</definedName>
    <definedName name="_IjLnDADGraQ">Metadata!$C$1259</definedName>
    <definedName name="_iJzGpY38k41">Metadata!$C$260</definedName>
    <definedName name="_iLowQAmnmZK">Metadata!$C$503</definedName>
    <definedName name="_IMqululFzhP">Metadata!$C$628</definedName>
    <definedName name="_iNT35p3jsEM">Metadata!$C$1056</definedName>
    <definedName name="_iNZRPMFtHSr">Metadata!$C$967</definedName>
    <definedName name="_ipe4pT2TW7G">Metadata!$C$1143</definedName>
    <definedName name="_Iq74LfX3CB5">Metadata!$C$1010</definedName>
    <definedName name="_ISnx1WJdoMN">Metadata!$C$325</definedName>
    <definedName name="_It06Qq2EzsF">Metadata!$C$352</definedName>
    <definedName name="_IT332UM0Eyd">Metadata!$C$199</definedName>
    <definedName name="_ITHN93Jce9l">Metadata!$C$60</definedName>
    <definedName name="_IttDSHJE3tY">Metadata!$C$624</definedName>
    <definedName name="_iuQxbRYPa0P">Metadata!$C$877</definedName>
    <definedName name="_IVHnxII1IQO">Metadata!$C$901</definedName>
    <definedName name="_ix4kFHxwYTd">Metadata!$C$701</definedName>
    <definedName name="_ixpABERkob0">Metadata!$C$211</definedName>
    <definedName name="_Izaihcp5imV">Metadata!$C$496</definedName>
    <definedName name="_IzLrdmSQGZs">Metadata!$C$742</definedName>
    <definedName name="_IZSm5iPKkDg">Metadata!$C$1189</definedName>
    <definedName name="_IZy3ESdFnp5">Metadata!$C$1134</definedName>
    <definedName name="_J1gsCnLV1C6">Metadata!$C$400</definedName>
    <definedName name="_J1xdPkLQqgn">Metadata!$C$774</definedName>
    <definedName name="_J6Zk3SfpHfM">Metadata!$C$354</definedName>
    <definedName name="_J8m9vtLVo2G">Metadata!$C$286</definedName>
    <definedName name="_j9SOCeGryr9">Metadata!$C$473</definedName>
    <definedName name="_ja0fxo22OTu">Metadata!$C$26</definedName>
    <definedName name="_JBCKANhdTX4">Metadata!$C$548</definedName>
    <definedName name="_jBJbfbVjszi">Metadata!$C$806</definedName>
    <definedName name="_jBu0lozRMGR">Metadata!$C$330</definedName>
    <definedName name="_jC51Spxta9C">Metadata!$C$258</definedName>
    <definedName name="_jCtFxm8aADJ">Metadata!$C$1222</definedName>
    <definedName name="_jD7f0DfCi3d">Metadata!$C$324</definedName>
    <definedName name="_JE2f9V3NIFL">Metadata!$C$964</definedName>
    <definedName name="_JEHwU064LAj">Metadata!$C$1170</definedName>
    <definedName name="_jEX6APp1feK">Metadata!$C$870</definedName>
    <definedName name="_jFOZHDZpjPL">Metadata!$C$1044</definedName>
    <definedName name="_jfXGOQwsmKq">Metadata!$C$633</definedName>
    <definedName name="_JgcDpU82eRk">Metadata!$C$655</definedName>
    <definedName name="_jhV8D0Dvbvz">Metadata!$C$784</definedName>
    <definedName name="_jHYuGEGVgTQ">Metadata!$C$818</definedName>
    <definedName name="_JI5lagoUJR4">Metadata!$C$1158</definedName>
    <definedName name="_JIr15Xt3EQn">Metadata!$C$1109</definedName>
    <definedName name="_jIuMMPDV6by">Metadata!$C$612</definedName>
    <definedName name="_jj5ZtVGdcwd">Metadata!$C$280</definedName>
    <definedName name="_jKPxJmIXMfs">Metadata!$C$957</definedName>
    <definedName name="_jkyBvNzcTLl">Metadata!$C$1260</definedName>
    <definedName name="_jLhYGG8YfpL">Metadata!$C$310</definedName>
    <definedName name="_jMGr96nGwHN">Metadata!$C$1200</definedName>
    <definedName name="_JMWzvzwgToC">Metadata!$C$632</definedName>
    <definedName name="_jnfm7mwyTcb">Metadata!$C$493</definedName>
    <definedName name="_jnGp1WtKfVG">Metadata!$C$946</definedName>
    <definedName name="_JNRH0Kptomm">Metadata!$C$805</definedName>
    <definedName name="_jnszKG9z5Mz">Metadata!$C$1016</definedName>
    <definedName name="_JPBLCDK3H2x">Metadata!$C$613</definedName>
    <definedName name="_JPklATr7DCt">Metadata!$C$152</definedName>
    <definedName name="_JQ5qF3mRCMe">Metadata!$C$1062</definedName>
    <definedName name="_JQkVqnP5kCq">Metadata!$C$478</definedName>
    <definedName name="_JQL0onXq6ge">Metadata!$C$108</definedName>
    <definedName name="_JRLY2XBpopS">Metadata!$C$492</definedName>
    <definedName name="_JrSwky5tYzt">Metadata!$C$758</definedName>
    <definedName name="_JRUk55kvbrE">Metadata!$C$744</definedName>
    <definedName name="_juBxu3AprlM">Metadata!$C$1297</definedName>
    <definedName name="_jVqoXv7rFns">Metadata!$C$1150</definedName>
    <definedName name="_JvWTmXsCHJj">Metadata!$C$585</definedName>
    <definedName name="_jwpUKqza5tE">Metadata!$C$430</definedName>
    <definedName name="_JWXFdM78vKq">Metadata!$C$907</definedName>
    <definedName name="_Jx6oc5hMVvO">Metadata!$C$745</definedName>
    <definedName name="_JX7HJfPfbog">Metadata!$C$1190</definedName>
    <definedName name="_jXQq22U4Y2e">Metadata!$C$1090</definedName>
    <definedName name="_jxUmQ1pAqyo">Metadata!$C$222</definedName>
    <definedName name="_JXZp3qBlqKP">Metadata!$C$31</definedName>
    <definedName name="_jY9ia5NLA77">Metadata!$C$486</definedName>
    <definedName name="_jzhphQ54S88">Metadata!$C$505</definedName>
    <definedName name="_jZOt27rWre8">Metadata!$C$1145</definedName>
    <definedName name="_JzvGfLYkX17">Metadata!$C$558</definedName>
    <definedName name="_K3EI0GwfkG8">Metadata!$C$684</definedName>
    <definedName name="_k3mk13WP4nI">Metadata!$C$848</definedName>
    <definedName name="_K3UcvN3sbDf">Metadata!$C$476</definedName>
    <definedName name="_k8RfzK41pD4">Metadata!$C$727</definedName>
    <definedName name="_kaSAsTJ5nxG">Metadata!$C$902</definedName>
    <definedName name="_KAU5IPKoIgx">Metadata!$C$414</definedName>
    <definedName name="_KAUSOoBq5Ft">Metadata!$C$1186</definedName>
    <definedName name="_kbm5mwVcVa6">Metadata!$C$1003</definedName>
    <definedName name="_KDi786sQNzG">Metadata!$C$979</definedName>
    <definedName name="_KFiedG0hNrV">Metadata!$C$933</definedName>
    <definedName name="_KftyPFBsxl0">Metadata!$C$908</definedName>
    <definedName name="_KGnMzMLw9z0">Metadata!$C$487</definedName>
    <definedName name="_Kh9ikyodKnN">Metadata!$C$704</definedName>
    <definedName name="_KHgbn4zfgrB">Metadata!$C$39</definedName>
    <definedName name="_KHL0TSASQzg">Metadata!$C$58</definedName>
    <definedName name="_kIlOxz1hjqj">Metadata!$C$886</definedName>
    <definedName name="_KioZypAqUxc">Metadata!$C$639</definedName>
    <definedName name="_Kkh2Axjhczd">Metadata!$C$910</definedName>
    <definedName name="_kkOw6gPK2OK">Metadata!$C$122</definedName>
    <definedName name="_KLbSi3CJxSo">Metadata!$C$245</definedName>
    <definedName name="_klIqXXMQ1AF">Metadata!$C$182</definedName>
    <definedName name="_klKaUMVsHxb">Metadata!$C$210</definedName>
    <definedName name="_KnjRRcegyLC">Metadata!$C$889</definedName>
    <definedName name="_kNKgbh9K2Ni">Metadata!$C$146</definedName>
    <definedName name="_KnNekvrEI5f">Metadata!$C$536</definedName>
    <definedName name="_KOUhvjWIy6V">Metadata!$C$1288</definedName>
    <definedName name="_kP4Lt8wdvd9">Metadata!$C$894</definedName>
    <definedName name="_kpFgAwwSjCZ">Metadata!$C$1291</definedName>
    <definedName name="_kPgF27h5Zao">Metadata!$C$617</definedName>
    <definedName name="_KqaTbKanCG3">Metadata!$C$1205</definedName>
    <definedName name="_Kr3g14QtHqR">Metadata!$C$769</definedName>
    <definedName name="_kRrGCtqloph">Metadata!$C$192</definedName>
    <definedName name="_KrU8C1YTdao">Metadata!$C$1296</definedName>
    <definedName name="_ksZnJo3iKXT">Metadata!$C$290</definedName>
    <definedName name="_kUtWaQStS1j">Metadata!$C$973</definedName>
    <definedName name="_kv8QLREJZk6">Metadata!$C$312</definedName>
    <definedName name="_KvI6UnlCWE8">Metadata!$C$620</definedName>
    <definedName name="_KwgjnBBpe5b">Metadata!$C$1058</definedName>
    <definedName name="_KwIlxiiBBjV">Metadata!$C$454</definedName>
    <definedName name="_kWzye8GtVeb">Metadata!$C$500</definedName>
    <definedName name="_kX1fshxhfjh">Metadata!$C$931</definedName>
    <definedName name="_kYO6lFqgkUO">Metadata!$C$766</definedName>
    <definedName name="_L0M2EGCKsU9">Metadata!$C$906</definedName>
    <definedName name="_l1mCEuDf2ZI">Metadata!$C$539</definedName>
    <definedName name="_l3cYAy0fRjl">Metadata!$C$1033</definedName>
    <definedName name="_L3f8EEO2QTn">Metadata!$C$671</definedName>
    <definedName name="_l6nbxFm0CO4">Metadata!$C$441</definedName>
    <definedName name="_l7UXvoiTgEX">Metadata!$C$262</definedName>
    <definedName name="_l91qM3cJTek">Metadata!$C$27</definedName>
    <definedName name="_L9GBwS8b1W8">Metadata!$C$984</definedName>
    <definedName name="_L9jYzVsoc9L">Metadata!$C$426</definedName>
    <definedName name="_LAPR4Iu2NVS">Metadata!$C$1108</definedName>
    <definedName name="_LaQe20TdHvH">Metadata!$C$158</definedName>
    <definedName name="_Lbkg2I4JTgG">Metadata!$C$435</definedName>
    <definedName name="_lbMrRSBsXh3">Metadata!$C$1095</definedName>
    <definedName name="_LBtaidI5G2z">Metadata!$C$642</definedName>
    <definedName name="_LbWpsX1FJcC">Metadata!$C$1050</definedName>
    <definedName name="_lBwtsiLb6w6">Metadata!$C$816</definedName>
    <definedName name="_lcB0UtS4nuB">Metadata!$C$751</definedName>
    <definedName name="_LddbYuuaWf7">Metadata!$C$682</definedName>
    <definedName name="_ldnUHxE7mb1">Metadata!$C$830</definedName>
    <definedName name="_ldpEanGgRnU">Metadata!$C$319</definedName>
    <definedName name="_lduI45hYMv5">Metadata!$C$517</definedName>
    <definedName name="_LE4fsk3RYza">Metadata!$C$647</definedName>
    <definedName name="_lGN2n7pZ6Ua">Metadata!$C$1086</definedName>
    <definedName name="_lguPmuZBWDk">Metadata!$C$12</definedName>
    <definedName name="_lh9mjPVQgUs">Metadata!$C$717</definedName>
    <definedName name="_Lir6kztSRZ7">Metadata!$C$147</definedName>
    <definedName name="_LJ8KCWU8OOV">Metadata!$C$153</definedName>
    <definedName name="_LkiHwqqYnxV">Metadata!$C$627</definedName>
    <definedName name="_LKiTYPmaOhj">Metadata!$C$279</definedName>
    <definedName name="_Lkjp0MFLDov">Metadata!$C$136</definedName>
    <definedName name="_LKw1KLdrCT5">Metadata!$C$942</definedName>
    <definedName name="_lKZR6UK0afN">Metadata!$C$1049</definedName>
    <definedName name="_lLYmmETEDPj">Metadata!$C$1006</definedName>
    <definedName name="_lMaO3449q0x">Metadata!$C$871</definedName>
    <definedName name="_lnvESj20mWZ">Metadata!$C$1187</definedName>
    <definedName name="_LO5oNfvohPx">Metadata!$C$452</definedName>
    <definedName name="_loSyLnRwwBi">Metadata!$C$259</definedName>
    <definedName name="_LPbH3n77lxu">Metadata!$C$661</definedName>
    <definedName name="_LPTrylkVM4Q">Metadata!$C$390</definedName>
    <definedName name="_Lpvf0YxPz6h">Metadata!$C$622</definedName>
    <definedName name="_LrDRewV80hv">Metadata!$C$385</definedName>
    <definedName name="_LrG8CqG0mhV">Metadata!$C$19</definedName>
    <definedName name="_LRoVMRyVmrE">Metadata!$C$654</definedName>
    <definedName name="_Ls5uiJRlx9L">Metadata!$C$13</definedName>
    <definedName name="_Lsnc4RViH9F">Metadata!$C$109</definedName>
    <definedName name="_lT2PXXEtNc0">Metadata!$C$469</definedName>
    <definedName name="_LTLHCOHyyWS">Metadata!$C$1229</definedName>
    <definedName name="_lTZshHjGQEe">Metadata!$C$228</definedName>
    <definedName name="_LvGn3KFEzvA">Metadata!$C$720</definedName>
    <definedName name="_lVPoUAKCdmU">Metadata!$C$1253</definedName>
    <definedName name="_lWJJnkPwmnJ">Metadata!$C$823</definedName>
    <definedName name="_LX2QltISk5s">Metadata!$C$112</definedName>
    <definedName name="_LYWv25b6Yfu">Metadata!$C$923</definedName>
    <definedName name="_lZa8WGsBpZt">Metadata!$C$148</definedName>
    <definedName name="_lzuWRVfUjkQ">Metadata!$C$494</definedName>
    <definedName name="_M0jk7fncrWU">Metadata!$C$226</definedName>
    <definedName name="_M1hZV0c1jpw">Metadata!$C$172</definedName>
    <definedName name="_M1ZpUXbo7Ql">Metadata!$C$277</definedName>
    <definedName name="_M22mM4UEDjy">Metadata!$C$495</definedName>
    <definedName name="_m34Z24f4QiZ">Metadata!$C$913</definedName>
    <definedName name="_m4eOcU1zHtL">Metadata!$C$22</definedName>
    <definedName name="_m4Yz9Nz5Eir">Metadata!$C$215</definedName>
    <definedName name="_m5NFJ1IxYaq">Metadata!$C$389</definedName>
    <definedName name="_m5vdq5UM3B2">Metadata!$C$498</definedName>
    <definedName name="_M6upUqnFt2Z">Metadata!$C$367</definedName>
    <definedName name="_m7MTceflWz3">Metadata!$C$406</definedName>
    <definedName name="_M9HrCkIwaKy">Metadata!$C$1278</definedName>
    <definedName name="_MaejJOaJVXy">Metadata!$C$520</definedName>
    <definedName name="_maFtwxdHWuZ">Metadata!$C$301</definedName>
    <definedName name="_MaLbWT81P7Q">Metadata!$C$583</definedName>
    <definedName name="_MazllecOrQC">Metadata!$C$421</definedName>
    <definedName name="_Mb9IYOFZYCv">Metadata!$C$1098</definedName>
    <definedName name="_MdkO4mttohH">Metadata!$C$56</definedName>
    <definedName name="_mDSuyD9lOM5">Metadata!$C$1146</definedName>
    <definedName name="_me9uxUxkBIc">Metadata!$C$1032</definedName>
    <definedName name="_mEaeC6W4Oga">Metadata!$C$181</definedName>
    <definedName name="_Mf7FROzUeWX">Metadata!$C$1021</definedName>
    <definedName name="_MfTwOXVWKnT">Metadata!$C$997</definedName>
    <definedName name="_MFUxfSaYW2e">Metadata!$C$547</definedName>
    <definedName name="_MFwYpsgHToP">Metadata!$C$735</definedName>
    <definedName name="_mhWSEv79IJW">Metadata!$C$1255</definedName>
    <definedName name="_MHYeBrf0izN">Metadata!$C$822</definedName>
    <definedName name="_MIa6TVKj2xo">Metadata!$C$477</definedName>
    <definedName name="_MJEntShoQVK">Metadata!$C$1071</definedName>
    <definedName name="_Mk7P920hkBa">Metadata!$C$1110</definedName>
    <definedName name="_Ml6HBooImtM">Metadata!$C$384</definedName>
    <definedName name="_MlBtet7M3rs">Metadata!$C$235</definedName>
    <definedName name="_MLv07cjdiAn">Metadata!$C$958</definedName>
    <definedName name="_mM3VtbRdurN">Metadata!$C$79</definedName>
    <definedName name="_mmJUi0PpvGi">Metadata!$C$1174</definedName>
    <definedName name="_mNa42CHbkO7">Metadata!$C$1041</definedName>
    <definedName name="_MNblETb62a7">Metadata!$C$420</definedName>
    <definedName name="_mnfnutsHsxh">Metadata!$C$276</definedName>
    <definedName name="_mNiSSk0Sfgz">Metadata!$C$65</definedName>
    <definedName name="_mOP4Sf5NwoV">Metadata!$C$1008</definedName>
    <definedName name="_mQOrGsSPzBX">Metadata!$C$663</definedName>
    <definedName name="_MRM0ZIZFfVP">Metadata!$C$63</definedName>
    <definedName name="_mSHa8SypYaJ">Metadata!$C$223</definedName>
    <definedName name="_MSX2ncxe0gF">Metadata!$C$783</definedName>
    <definedName name="_Mv3kaUwZXRq">Metadata!$C$672</definedName>
    <definedName name="_mVxpfBydPB7">Metadata!$C$713</definedName>
    <definedName name="_mx3f7jzRUn6">Metadata!$C$129</definedName>
    <definedName name="_MXfWGD11wLh">Metadata!$C$767</definedName>
    <definedName name="_MxK9mbc2OMv">Metadata!$C$546</definedName>
    <definedName name="_MXXzDDuba8n">Metadata!$C$118</definedName>
    <definedName name="_myv7amOYTHn">Metadata!$C$1084</definedName>
    <definedName name="_MYvkD09xyeq">Metadata!$C$611</definedName>
    <definedName name="_MYxDpADjsxJ">Metadata!$C$1035</definedName>
    <definedName name="_mzBQp5cOihy">Metadata!$C$436</definedName>
    <definedName name="_mZVNxEL1OKd">Metadata!$C$175</definedName>
    <definedName name="_n1ptipI0iZU">Metadata!$C$729</definedName>
    <definedName name="_n28aEFrTuRE">Metadata!$C$825</definedName>
    <definedName name="_N3nYJ6ScaYx">Metadata!$C$775</definedName>
    <definedName name="_N6pEEiEpNS1">Metadata!$C$412</definedName>
    <definedName name="_n7GyaiCn7uH">Metadata!$C$86</definedName>
    <definedName name="_n8iofJiiX4T">Metadata!$C$1065</definedName>
    <definedName name="_N9i1v07Ro0E">Metadata!$C$1226</definedName>
    <definedName name="_Nb8Gg5ZiX5c">Metadata!$C$73</definedName>
    <definedName name="_nBLlavpOdkF">Metadata!$C$59</definedName>
    <definedName name="_NC58vY6UBEk">Metadata!$C$458</definedName>
    <definedName name="_Nf5yWoOEfSm">Metadata!$C$205</definedName>
    <definedName name="_NgSatqCq1hB">Metadata!$C$812</definedName>
    <definedName name="_ngUSWwX0Oby">Metadata!$C$1117</definedName>
    <definedName name="_Ngzlv0PnZHM">Metadata!$C$196</definedName>
    <definedName name="_nhAPWwIgUCL">Metadata!$C$253</definedName>
    <definedName name="_nHbFkXhZCiI">Metadata!$C$983</definedName>
    <definedName name="_nHiJwDVwoBi">Metadata!$C$652</definedName>
    <definedName name="_NhuW760cOQG">Metadata!$C$1100</definedName>
    <definedName name="_Ni2b6zYWjjT">Metadata!$C$364</definedName>
    <definedName name="_NI4NAaV0hSh">Metadata!$C$101</definedName>
    <definedName name="_nkvvH6QuQ8t">Metadata!$C$213</definedName>
    <definedName name="_NkwjVn9Db6F">Metadata!$C$861</definedName>
    <definedName name="_nLbuvx5jioD">Metadata!$C$218</definedName>
    <definedName name="_nlUAhvWIgOU">Metadata!$C$123</definedName>
    <definedName name="_Nlv8oKkoAwp">Metadata!$C$1163</definedName>
    <definedName name="_nNmvfTuUhng">Metadata!$C$285</definedName>
    <definedName name="_NojSG8rZDfq">Metadata!$C$691</definedName>
    <definedName name="_nOKbmhjyCYA">Metadata!$C$383</definedName>
    <definedName name="_npSh7oFwczs">Metadata!$C$643</definedName>
    <definedName name="_Nq0rzj9aWEV">Metadata!$C$604</definedName>
    <definedName name="_nqLIz7qfuLu">Metadata!$C$881</definedName>
    <definedName name="_Nrnay4JA8Ga">Metadata!$C$1059</definedName>
    <definedName name="_nS0ZJGJUX0u">Metadata!$C$513</definedName>
    <definedName name="_nsI6nzlSumR">Metadata!$C$363</definedName>
    <definedName name="_NUkOvK4bnj2">Metadata!$C$1139</definedName>
    <definedName name="_Nv40tdMXtFC">Metadata!$C$508</definedName>
    <definedName name="_NvElx3aXZB2">Metadata!$C$880</definedName>
    <definedName name="_NVuew7FtnQS">Metadata!$C$237</definedName>
    <definedName name="_nW6KgPEVLIt">Metadata!$C$544</definedName>
    <definedName name="_nWqgnOkihzf">Metadata!$C$67</definedName>
    <definedName name="_nXfMiK28avb">Metadata!$C$474</definedName>
    <definedName name="_NxQueFeUfa3">Metadata!$C$306</definedName>
    <definedName name="_NZ7DsfjUbqo">Metadata!$C$569</definedName>
    <definedName name="_NzGbnoHVMaF">Metadata!$C$819</definedName>
    <definedName name="_Nzxhqg5ULhr">Metadata!$C$1002</definedName>
    <definedName name="_O0hWoXlHhIS">Metadata!$C$1203</definedName>
    <definedName name="_O0M73CspI2e">Metadata!$C$862</definedName>
    <definedName name="_o1HqfAPcWtK">Metadata!$C$407</definedName>
    <definedName name="_o2PYOw8PSBa">Metadata!$C$560</definedName>
    <definedName name="_o2tDeZ7tB0l">Metadata!$C$298</definedName>
    <definedName name="_O2vEtUZRIRh">Metadata!$C$519</definedName>
    <definedName name="_O3JfrNS9Ewj">Metadata!$C$518</definedName>
    <definedName name="_O7BGyJhV2Tc">Metadata!$C$1206</definedName>
    <definedName name="_O7xuokSXg4m">Metadata!$C$524</definedName>
    <definedName name="_o8MW4iuLC95">Metadata!$C$996</definedName>
    <definedName name="_O98HUAHsVSs">Metadata!$C$991</definedName>
    <definedName name="_O9FGiWCttH4">Metadata!$C$70</definedName>
    <definedName name="_OAaXg7NvGcx">Metadata!$C$75</definedName>
    <definedName name="_OB65zPWgdfd">Metadata!$C$1005</definedName>
    <definedName name="_ObubT46sWpe">Metadata!$C$938</definedName>
    <definedName name="_obXDv8Sm9yK">Metadata!$C$864</definedName>
    <definedName name="_oDBd4Mj0Oc2">Metadata!$C$776</definedName>
    <definedName name="_oDP0YtPBOVQ">Metadata!$C$138</definedName>
    <definedName name="_OfROf5GmY2U">Metadata!$C$350</definedName>
    <definedName name="_OFsiDpAC34b">Metadata!$C$47</definedName>
    <definedName name="_oFXCMBtu71f">Metadata!$C$244</definedName>
    <definedName name="_OFXJXWnOG0R">Metadata!$C$1102</definedName>
    <definedName name="_OGPzE4S9Lsk">Metadata!$C$909</definedName>
    <definedName name="_OIIQM13YogD">Metadata!$C$874</definedName>
    <definedName name="_OJVKXPCUetq">Metadata!$C$265</definedName>
    <definedName name="_olAQlCURSQR">Metadata!$C$506</definedName>
    <definedName name="_OMS7a4cxTLo">Metadata!$C$540</definedName>
    <definedName name="_ON8DBreBXlt">Metadata!$C$155</definedName>
    <definedName name="_oNyG3X3DPbz">Metadata!$C$7</definedName>
    <definedName name="_oofyLUJJ6Vy">Metadata!$C$1039</definedName>
    <definedName name="_OpJzru7UHuG">Metadata!$C$257</definedName>
    <definedName name="_oQLYNHgyejZ">Metadata!$C$921</definedName>
    <definedName name="_oroMC4mMzMq">Metadata!$C$1243</definedName>
    <definedName name="_Osqz2NJoO0h">Metadata!$C$271</definedName>
    <definedName name="_ot3GyBTHeKe">Metadata!$C$316</definedName>
    <definedName name="_Ot71GbygcHf">Metadata!$C$741</definedName>
    <definedName name="_oWNF4d3PK8C">Metadata!$C$1252</definedName>
    <definedName name="_oWqVbrpimjf">Metadata!$C$351</definedName>
    <definedName name="_oy494aJtjTB">Metadata!$C$1209</definedName>
    <definedName name="_oy9zJeCRcHk">Metadata!$C$821</definedName>
    <definedName name="_OyaYCadoBtb">Metadata!$C$578</definedName>
    <definedName name="_OYoY16njQBO">Metadata!$C$171</definedName>
    <definedName name="_p3raMKTiHsj">Metadata!$C$734</definedName>
    <definedName name="_P3ZMsb6v3q7">Metadata!$C$966</definedName>
    <definedName name="_P5jMO9Y0SRn">Metadata!$C$756</definedName>
    <definedName name="_P5RXZZXrLGM">Metadata!$C$386</definedName>
    <definedName name="_P6Si86K02do">Metadata!$C$177</definedName>
    <definedName name="_P7NeDYkZMDT">Metadata!$C$90</definedName>
    <definedName name="_pbH6bmcioGw">Metadata!$C$1094</definedName>
    <definedName name="_pbip5m1yf5Y">Metadata!$C$768</definedName>
    <definedName name="_pDcP5F8H0hR">Metadata!$C$568</definedName>
    <definedName name="_PDI1LOtG5mD">Metadata!$C$206</definedName>
    <definedName name="_pDOTS19LDs1">Metadata!$C$814</definedName>
    <definedName name="_PebkMQ9WtnK">Metadata!$C$229</definedName>
    <definedName name="_PevCwH17M73">Metadata!$C$1220</definedName>
    <definedName name="_PFAtPR87fHs">Metadata!$C$1069</definedName>
    <definedName name="_pfhvgmllA9M">Metadata!$C$1046</definedName>
    <definedName name="_pGLy2Zj2lVg">Metadata!$C$1267</definedName>
    <definedName name="_phAahTmP3AP">Metadata!$C$842</definedName>
    <definedName name="_PhGYsKg6Z64">Metadata!$C$135</definedName>
    <definedName name="_pjDDwNroUiK">Metadata!$C$581</definedName>
    <definedName name="_PJS910L8KtX">Metadata!$C$1290</definedName>
    <definedName name="_pl4ewykGEd1">Metadata!$C$120</definedName>
    <definedName name="_Pls0CA73g64">Metadata!$C$992</definedName>
    <definedName name="_pmcCjSU7an3">Metadata!$C$373</definedName>
    <definedName name="_PMdpXC27ktm">Metadata!$C$987</definedName>
    <definedName name="_PmJk7pg8ZH7">Metadata!$C$304</definedName>
    <definedName name="_Pmr5vKV0JhS">Metadata!$C$198</definedName>
    <definedName name="_pMukkUmnnkh">Metadata!$C$1273</definedName>
    <definedName name="_poDz4wDp6J0">Metadata!$C$796</definedName>
    <definedName name="_pOUpImrRlyS">Metadata!$C$88</definedName>
    <definedName name="_POUZYADWUp1">Metadata!$C$678</definedName>
    <definedName name="_PpjdOoVUc7k">Metadata!$C$1107</definedName>
    <definedName name="_pqnXfUagaiY">Metadata!$C$650</definedName>
    <definedName name="_PRFVamHB0VQ">Metadata!$C$71</definedName>
    <definedName name="_PRrdILmQQb3">Metadata!$C$1116</definedName>
    <definedName name="_pRrlf6NYYmU">Metadata!$C$395</definedName>
    <definedName name="_pS9QqWeC7OO">Metadata!$C$295</definedName>
    <definedName name="_psjx0PchSPj">Metadata!$C$195</definedName>
    <definedName name="_psQ1ZBzOwRm">Metadata!$C$1012</definedName>
    <definedName name="_pSRNRBuOBi8">Metadata!$C$76</definedName>
    <definedName name="_Psx8w32IjKA">Metadata!$C$333</definedName>
    <definedName name="_PtCFMK7nBkR">Metadata!$C$247</definedName>
    <definedName name="_pTF4zHINsQO">Metadata!$C$552</definedName>
    <definedName name="_ptLuUHEellT">Metadata!$C$145</definedName>
    <definedName name="_PUaHSbd6T5T">Metadata!$C$45</definedName>
    <definedName name="_pulohYIR6jX">Metadata!$C$429</definedName>
    <definedName name="_puzqoVkC9bH">Metadata!$C$424</definedName>
    <definedName name="_PvrMV4NjbtR">Metadata!$C$1298</definedName>
    <definedName name="_pWXXIlhZ8PI">Metadata!$C$20</definedName>
    <definedName name="_pXmA8xcLcd9">Metadata!$C$978</definedName>
    <definedName name="_PXZbVlkKwcw">Metadata!$C$470</definedName>
    <definedName name="_PY4aKgi30fr">Metadata!$C$1250</definedName>
    <definedName name="_Pz0LCggcqES">Metadata!$C$1196</definedName>
    <definedName name="_pZph18i0E3N">Metadata!$C$348</definedName>
    <definedName name="_pZZriU4sY0l">Metadata!$C$1197</definedName>
    <definedName name="_Q1qH1ilMK8i">Metadata!$C$1036</definedName>
    <definedName name="_q23bFLr2E5D">Metadata!$C$1083</definedName>
    <definedName name="_q2HqXV5OO3z">Metadata!$C$1263</definedName>
    <definedName name="_Q4I1zZfYXXc">Metadata!$C$982</definedName>
    <definedName name="_q4n8NzDkE7D">Metadata!$C$644</definedName>
    <definedName name="_q5LpwTe5bxM">Metadata!$C$956</definedName>
    <definedName name="_Q7AJ1ykq09H">Metadata!$C$369</definedName>
    <definedName name="_Q8De2VxoKXS">Metadata!$C$1285</definedName>
    <definedName name="_Q8jKkm7slV8">Metadata!$C$919</definedName>
    <definedName name="_q9u7nkNkuGy">Metadata!$C$1137</definedName>
    <definedName name="_QayMME14lE1">Metadata!$C$180</definedName>
    <definedName name="_qbqrFLCJewu">Metadata!$C$1246</definedName>
    <definedName name="_qCRmLPzIMfA">Metadata!$C$168</definedName>
    <definedName name="_QdENg0i5gAN">Metadata!$C$1028</definedName>
    <definedName name="_QdpBLugMtqQ">Metadata!$C$740</definedName>
    <definedName name="_qdxpgnOUeam">Metadata!$C$603</definedName>
    <definedName name="_qE7bXo1gdhI">Metadata!$C$166</definedName>
    <definedName name="_Qf4UX9h7VHw">Metadata!$C$11</definedName>
    <definedName name="_qfVp6vFGOpZ">Metadata!$C$96</definedName>
    <definedName name="_qfXgWkacWGi">Metadata!$C$782</definedName>
    <definedName name="_qg3FIv25BEt">Metadata!$C$234</definedName>
    <definedName name="_QhZPfMYBla6">Metadata!$C$634</definedName>
    <definedName name="_qiy19S7ih95">Metadata!$C$55</definedName>
    <definedName name="_QIZna0gogX9">Metadata!$C$903</definedName>
    <definedName name="_qKf4eMvqKqq">Metadata!$C$291</definedName>
    <definedName name="_QkOClVdLto1">Metadata!$C$1217</definedName>
    <definedName name="_QLERXr2o7IE">Metadata!$C$1122</definedName>
    <definedName name="_QLqvnN57uaj">Metadata!$C$293</definedName>
    <definedName name="_qmsg1OVBqif">Metadata!$C$854</definedName>
    <definedName name="_qpN0r5UFcPn">Metadata!$C$327</definedName>
    <definedName name="_QPtnjdoIqnH">Metadata!$C$142</definedName>
    <definedName name="_QqAzWHtJ8VC">Metadata!$C$1258</definedName>
    <definedName name="_QQIXTkQuD9z">Metadata!$C$537</definedName>
    <definedName name="_qr8RGsOOdXn">Metadata!$C$463</definedName>
    <definedName name="_qScWuUGR5yF">Metadata!$C$126</definedName>
    <definedName name="_QSpLidCdqMU">Metadata!$C$1097</definedName>
    <definedName name="_qsXtuKShMVv">Metadata!$C$873</definedName>
    <definedName name="_QtxlZLxjuRg">Metadata!$C$457</definedName>
    <definedName name="_quQpOfBIDFC">Metadata!$C$1140</definedName>
    <definedName name="_QUUTx1RNwpi">Metadata!$C$697</definedName>
    <definedName name="_QUXnEwBKOCt">Metadata!$C$602</definedName>
    <definedName name="_qV0jUJzFUER">Metadata!$C$608</definedName>
    <definedName name="_QvnSCGMRuiV">Metadata!$C$433</definedName>
    <definedName name="_qwrS0zi07SD">Metadata!$C$846</definedName>
    <definedName name="_QxPGLy2DUhG">Metadata!$C$332</definedName>
    <definedName name="_Qy71EkOy7om">Metadata!$C$41</definedName>
    <definedName name="_qzgmWRFev5J">Metadata!$C$860</definedName>
    <definedName name="_r2DSRRcdILk">Metadata!$C$261</definedName>
    <definedName name="_R57TSpcjbOf">Metadata!$C$831</definedName>
    <definedName name="_r6GyNE6sV58">Metadata!$C$852</definedName>
    <definedName name="_rb6V38jgfFc">Metadata!$C$1247</definedName>
    <definedName name="_rBKkHNAdzhB">Metadata!$C$397</definedName>
    <definedName name="_RCcjOgia5lC">Metadata!$C$382</definedName>
    <definedName name="_rdiq6QPpJC7">Metadata!$C$773</definedName>
    <definedName name="_RDiXMdNXg16">Metadata!$C$1249</definedName>
    <definedName name="_RdP4lkM83cM">Metadata!$C$653</definedName>
    <definedName name="_rEQqufy2KNi">Metadata!$C$1198</definedName>
    <definedName name="_rEUC186wftQ">Metadata!$C$712</definedName>
    <definedName name="_RfqYbGs8Za9">Metadata!$C$481</definedName>
    <definedName name="_rgozN0dmixB">Metadata!$C$596</definedName>
    <definedName name="_rhcIHVJ1RxM">Metadata!$C$220</definedName>
    <definedName name="_rhltpqitzC9">Metadata!$C$204</definedName>
    <definedName name="_Ri2tb7LBVtP">Metadata!$C$1127</definedName>
    <definedName name="_rIchxlzx0E0">Metadata!$C$732</definedName>
    <definedName name="_rJ2dfIqC23R">Metadata!$C$683</definedName>
    <definedName name="_RJERO5G7Od7">Metadata!$C$721</definedName>
    <definedName name="_rjQiZlCjHp6">Metadata!$C$6</definedName>
    <definedName name="_rJSdwEyXgfh">Metadata!$C$595</definedName>
    <definedName name="_RK9mngtJtTL">Metadata!$C$323</definedName>
    <definedName name="_RLUq9bhLRJW">Metadata!$C$311</definedName>
    <definedName name="_Rmy6DbwekE1">Metadata!$C$1043</definedName>
    <definedName name="_RNCFRfcGsEq">Metadata!$C$251</definedName>
    <definedName name="_rotANIe2GHX">Metadata!$C$317</definedName>
    <definedName name="_ROyKFEvDgAp">Metadata!$C$778</definedName>
    <definedName name="_rQbVIOyPNHb">Metadata!$C$533</definedName>
    <definedName name="_rr5X0uhJKl5">Metadata!$C$131</definedName>
    <definedName name="_rRfHbsBLHRx">Metadata!$C$287</definedName>
    <definedName name="_RrkLjvYsNeY">Metadata!$C$994</definedName>
    <definedName name="_RRV32wU5Sk1">Metadata!$C$676</definedName>
    <definedName name="_RsBAd46LBnm">Metadata!$C$618</definedName>
    <definedName name="_rsGK1D0Xkfj">Metadata!$C$106</definedName>
    <definedName name="_rsmgY2HkHEf">Metadata!$C$267</definedName>
    <definedName name="_rsyymElP56r">Metadata!$C$467</definedName>
    <definedName name="_RTdjvXHJdnH">Metadata!$C$1091</definedName>
    <definedName name="_rtLnlu4GUI2">Metadata!$C$1195</definedName>
    <definedName name="_RV524jaqnsU">Metadata!$C$911</definedName>
    <definedName name="_rvsb7MLMUbV">Metadata!$C$68</definedName>
    <definedName name="_ry2NWNkjLq3">Metadata!$C$207</definedName>
    <definedName name="_RyAd6laKg3U">Metadata!$C$1234</definedName>
    <definedName name="_RZ7aFEnVbGT">Metadata!$C$563</definedName>
    <definedName name="_rzA9f0pqcz8">Metadata!$C$851</definedName>
    <definedName name="_RZezdwRO5a8">Metadata!$C$428</definedName>
    <definedName name="_rzOMBqJQhrD">Metadata!$C$315</definedName>
    <definedName name="_S0YQ604HS5J">Metadata!$C$912</definedName>
    <definedName name="_s10VCchdlnY">Metadata!$C$165</definedName>
    <definedName name="_s1mzBU7YOaZ">Metadata!$C$1106</definedName>
    <definedName name="_s21anKTNgkF">Metadata!$C$1034</definedName>
    <definedName name="_S52uSY3lb8V">Metadata!$C$1287</definedName>
    <definedName name="_s5mo8EjeKiY">Metadata!$C$669</definedName>
    <definedName name="_S7v70E5unBv">Metadata!$C$1009</definedName>
    <definedName name="_S8oIZdNn50G">Metadata!$C$658</definedName>
    <definedName name="_s92LZ9RuhaG">Metadata!$C$398</definedName>
    <definedName name="_sAC6z2IMFrR">Metadata!$C$571</definedName>
    <definedName name="_sAiWHWYnsk1">Metadata!$C$813</definedName>
    <definedName name="_SaqEwr5B5dd">Metadata!$C$922</definedName>
    <definedName name="_SAsS1Kwc4iW">Metadata!$C$1239</definedName>
    <definedName name="_SbearYuCfX5">Metadata!$C$688</definedName>
    <definedName name="_sbIyFRN4j0N">Metadata!$C$465</definedName>
    <definedName name="_Sbk9iH85Ltm">Metadata!$C$336</definedName>
    <definedName name="_SDcGmbcJtvd">Metadata!$C$961</definedName>
    <definedName name="_sdCYhjOxnoD">Metadata!$C$264</definedName>
    <definedName name="_sFlo2nMKUjV">Metadata!$C$42</definedName>
    <definedName name="_sg5v6c9tCZ3">Metadata!$C$1067</definedName>
    <definedName name="_SGeK38mtNgA">Metadata!$C$811</definedName>
    <definedName name="_sHcFoPbjSrP">Metadata!$C$793</definedName>
    <definedName name="_shRXArPWh8H">Metadata!$C$1092</definedName>
    <definedName name="_ShycShOYDCy">Metadata!$C$917</definedName>
    <definedName name="_sj4i9BflXvh">Metadata!$C$592</definedName>
    <definedName name="_sJuInXfi09r">Metadata!$C$794</definedName>
    <definedName name="_sjuX99wm7IZ">Metadata!$C$600</definedName>
    <definedName name="_sL6GUzUS18c">Metadata!$C$731</definedName>
    <definedName name="_SlA9m2ZX9XS">Metadata!$C$662</definedName>
    <definedName name="_slhvGcmFwtM">Metadata!$C$623</definedName>
    <definedName name="_smlHQk2gqIf">Metadata!$C$482</definedName>
    <definedName name="_sn72zXVjAF8">Metadata!$C$512</definedName>
    <definedName name="_SNMxQRPYRm7">Metadata!$C$883</definedName>
    <definedName name="_SnYHrnchKjL">Metadata!$C$1280</definedName>
    <definedName name="_SOU2X25z1dq">Metadata!$C$35</definedName>
    <definedName name="_SPcq2CZFyzT">Metadata!$C$302</definedName>
    <definedName name="_sPP5gqI4TC8">Metadata!$C$557</definedName>
    <definedName name="_srcYifXOgXq">Metadata!$C$273</definedName>
    <definedName name="_sRfhRRpv2rH">Metadata!$C$270</definedName>
    <definedName name="_SRSiY1qW6W8">Metadata!$C$357</definedName>
    <definedName name="_sRVnECfvFs7">Metadata!$C$340</definedName>
    <definedName name="_SsAjVE1S87E">Metadata!$C$1151</definedName>
    <definedName name="_sSIYRwB1r74">Metadata!$C$1118</definedName>
    <definedName name="_St1b2AfFxLb">Metadata!$C$668</definedName>
    <definedName name="_ST86paYjRHP">Metadata!$C$1052</definedName>
    <definedName name="_StFfGxHbuDF">Metadata!$C$631</definedName>
    <definedName name="_sV8cE4AX2yl">Metadata!$C$355</definedName>
    <definedName name="_sW496bvfky8">Metadata!$C$24</definedName>
    <definedName name="_swjTZ93dg4h">Metadata!$C$551</definedName>
    <definedName name="_sYJkQfzW1BG">Metadata!$C$83</definedName>
    <definedName name="_sYXjZhknWsi">Metadata!$C$945</definedName>
    <definedName name="_SZ3nIBbJDHd">Metadata!$C$625</definedName>
    <definedName name="_SZ4eyjPLeyA">Metadata!$C$827</definedName>
    <definedName name="_T00uTw1c2eR">Metadata!$C$990</definedName>
    <definedName name="_T10hGZHcK7q">Metadata!$C$212</definedName>
    <definedName name="_T1B1YJROUum">Metadata!$C$562</definedName>
    <definedName name="_T1irZBQ9gNW">Metadata!$C$1173</definedName>
    <definedName name="_T1or0EcEX2V">Metadata!$C$843</definedName>
    <definedName name="_T27BlFRfKBB">Metadata!$C$975</definedName>
    <definedName name="_t5jOlOCqSr3">Metadata!$C$439</definedName>
    <definedName name="_T7bTbB8YvsQ">Metadata!$C$837</definedName>
    <definedName name="_T7KjtN9SenL">Metadata!$C$186</definedName>
    <definedName name="_T7tKHiW1Db1">Metadata!$C$1054</definedName>
    <definedName name="_Ta8ifRxwOmP">Metadata!$C$417</definedName>
    <definedName name="_tcfeFTkd9ke">Metadata!$C$924</definedName>
    <definedName name="_TcSxFdjVWEh">Metadata!$C$81</definedName>
    <definedName name="_TCVfWydCsa4">Metadata!$C$687</definedName>
    <definedName name="_tDFavWinSwr">Metadata!$C$1165</definedName>
    <definedName name="_TdZ7GfhQW7O">Metadata!$C$865</definedName>
    <definedName name="_TE5sao73qRm">Metadata!$C$117</definedName>
    <definedName name="_tejOvb3YNOT">Metadata!$C$514</definedName>
    <definedName name="_tg1pZyQC7LX">Metadata!$C$954</definedName>
    <definedName name="_TIhakAVsQwM">Metadata!$C$1180</definedName>
    <definedName name="_tjT8FgtoZmV">Metadata!$C$322</definedName>
    <definedName name="_tk8INObuVAv">Metadata!$C$849</definedName>
    <definedName name="_tkCXuIKxKvK">Metadata!$C$5</definedName>
    <definedName name="_TldYkeCwb5r">Metadata!$C$1093</definedName>
    <definedName name="_tnPO3Tkofqr">Metadata!$C$266</definedName>
    <definedName name="_tnTRnfd2aVs">Metadata!$C$1164</definedName>
    <definedName name="_Tp6ETHHL2va">Metadata!$C$250</definedName>
    <definedName name="_tPCE4uhj0hy">Metadata!$C$462</definedName>
    <definedName name="_TpDwlm2Spev">Metadata!$C$1284</definedName>
    <definedName name="_tqciYTsRsV1">Metadata!$C$230</definedName>
    <definedName name="_Tr4i6jeDDqj">Metadata!$C$1057</definedName>
    <definedName name="_TRB0RlFABNw">Metadata!$C$372</definedName>
    <definedName name="_true">Metadata!$C$1304</definedName>
    <definedName name="_tSBEjAHKj9V">Metadata!$C$1235</definedName>
    <definedName name="_tsd2otYofQa">Metadata!$C$674</definedName>
    <definedName name="_TTLIv7PVhKo">Metadata!$C$246</definedName>
    <definedName name="_TTQ6WgBHZUZ">Metadata!$C$28</definedName>
    <definedName name="_TTWJ58v2frD">Metadata!$C$53</definedName>
    <definedName name="_tu2P5ALJRow">Metadata!$C$522</definedName>
    <definedName name="_Tu5X9QCLC67">Metadata!$C$1013</definedName>
    <definedName name="_Tu64Vt7gv8M">Metadata!$C$374</definedName>
    <definedName name="_tV0rWhHr9cj">Metadata!$C$1081</definedName>
    <definedName name="_tVFw2UJiuvo">Metadata!$C$809</definedName>
    <definedName name="_tWbJWEUNu2F">Metadata!$C$381</definedName>
    <definedName name="_tWmFeJagj87">Metadata!$C$233</definedName>
    <definedName name="_tWMp2gMdZVY">Metadata!$C$630</definedName>
    <definedName name="_TWyMjVaaxmT">Metadata!$C$1261</definedName>
    <definedName name="_TxYXq9qqMJt">Metadata!$C$169</definedName>
    <definedName name="_tyyxKXZbYjI">Metadata!$C$278</definedName>
    <definedName name="_tZ3CM9qXx2R">Metadata!$C$303</definedName>
    <definedName name="_tZftZ03eewT">Metadata!$C$962</definedName>
    <definedName name="_U0YDqrjO4sv">Metadata!$C$167</definedName>
    <definedName name="_u1aymSGFTqA">Metadata!$C$305</definedName>
    <definedName name="_U20BELNfToU">Metadata!$C$342</definedName>
    <definedName name="_U30oYXdSWTe">Metadata!$C$401</definedName>
    <definedName name="_u3GOCB1Hu01">Metadata!$C$1079</definedName>
    <definedName name="_u3t1gIXW3Bh">Metadata!$C$72</definedName>
    <definedName name="_u4evyxHktVP">Metadata!$C$50</definedName>
    <definedName name="_U5QaBXGsFlJ">Metadata!$C$554</definedName>
    <definedName name="_u7H4MyT2Y0A">Metadata!$C$1070</definedName>
    <definedName name="_u7WSQpbLBGs">Metadata!$C$516</definedName>
    <definedName name="_u8eW1I03rvW">Metadata!$C$281</definedName>
    <definedName name="_Ua4F7QDEr8y">Metadata!$C$574</definedName>
    <definedName name="_uAB8kfk7I3z">Metadata!$C$556</definedName>
    <definedName name="_uBsAlWtPLFK">Metadata!$C$714</definedName>
    <definedName name="_uc8uSqVVt4n">Metadata!$C$570</definedName>
    <definedName name="_UcfAgoEEjT2">Metadata!$C$274</definedName>
    <definedName name="_ud6YiQ9ekgi">Metadata!$C$268</definedName>
    <definedName name="_ugQXiXF3q1v">Metadata!$C$242</definedName>
    <definedName name="_uHCDEltKEA6">Metadata!$C$515</definedName>
    <definedName name="_UhjNBiB6vBb">Metadata!$C$876</definedName>
    <definedName name="_uIUcjj7o0UF">Metadata!$C$579</definedName>
    <definedName name="_uj0O9RhtzD8">Metadata!$C$173</definedName>
    <definedName name="_UJVEh0g7qOo">Metadata!$C$1121</definedName>
    <definedName name="_UJw5MYbIpv9">Metadata!$C$202</definedName>
    <definedName name="_UKbfaRlqkpY">Metadata!$C$738</definedName>
    <definedName name="_UKk45hewbPH">Metadata!$C$875</definedName>
    <definedName name="_UlQiEogy3wG">Metadata!$C$1228</definedName>
    <definedName name="_umZdylabnsy">Metadata!$C$893</definedName>
    <definedName name="_UN1GGvFlETF">Metadata!$C$409</definedName>
    <definedName name="_uNIgpV4l21k">Metadata!$C$601</definedName>
    <definedName name="_uNJCzPnnWNW">Metadata!$C$638</definedName>
    <definedName name="_unqbIiA0uir">Metadata!$C$739</definedName>
    <definedName name="_uNU2FnjI5ep">Metadata!$C$857</definedName>
    <definedName name="_uoqUo1n2Bbr">Metadata!$C$288</definedName>
    <definedName name="_uQaaJtnfFWM">Metadata!$C$370</definedName>
    <definedName name="_uQe1J0rpnwS">Metadata!$C$82</definedName>
    <definedName name="_uqXIaHP9Gxr">Metadata!$C$1029</definedName>
    <definedName name="_uqzqgaYByJq">Metadata!$C$377</definedName>
    <definedName name="_Ur5rF3mTRba">Metadata!$C$872</definedName>
    <definedName name="_UTDBwK73RlG">Metadata!$C$686</definedName>
    <definedName name="_UTEeOMyhBoY">Metadata!$C$97</definedName>
    <definedName name="_uTwQaiIEDk6">Metadata!$C$521</definedName>
    <definedName name="_Uubd1dIoT4W">Metadata!$C$641</definedName>
    <definedName name="_uuHjvQ3uSjS">Metadata!$C$466</definedName>
    <definedName name="_UVmyzENvSiy">Metadata!$C$345</definedName>
    <definedName name="_uvTw0Kus5KZ">Metadata!$C$1153</definedName>
    <definedName name="_UygxXF1MN03">Metadata!$C$835</definedName>
    <definedName name="_uynThwppKeS">Metadata!$C$820</definedName>
    <definedName name="_uzy03WEvMkk">Metadata!$C$130</definedName>
    <definedName name="_v2B5AtYQV8H">Metadata!$C$1182</definedName>
    <definedName name="_v2CCdaKGum8">Metadata!$C$30</definedName>
    <definedName name="_V5rMEsxYhaF">Metadata!$C$780</definedName>
    <definedName name="_v6OkaCDmX5Y">Metadata!$C$163</definedName>
    <definedName name="_v8Xnaigda7O">Metadata!$C$402</definedName>
    <definedName name="_Va9QjeOhGZa">Metadata!$C$236</definedName>
    <definedName name="_VbbSe7wgS9s">Metadata!$C$1053</definedName>
    <definedName name="_vboedbUs1As">Metadata!$C$1266</definedName>
    <definedName name="_vC3F2X3f9qG">Metadata!$C$1031</definedName>
    <definedName name="_vC7IrqyGFKF">Metadata!$C$807</definedName>
    <definedName name="_vCaW1uucv0A">Metadata!$C$21</definedName>
    <definedName name="_vCOrIolhyxP">Metadata!$C$353</definedName>
    <definedName name="_VCVhaAxv3AP">Metadata!$C$190</definedName>
    <definedName name="_vD8z84b3gTt">Metadata!$C$850</definedName>
    <definedName name="_VDeI2btrNih">Metadata!$C$164</definedName>
    <definedName name="_vDp3u0DJlrK">Metadata!$C$313</definedName>
    <definedName name="_vFG4awbDk0I">Metadata!$C$927</definedName>
    <definedName name="_vFHz3MkTm0K">Metadata!$C$559</definedName>
    <definedName name="_vg4b11FL2Gl">Metadata!$C$1276</definedName>
    <definedName name="_VGOzFKfSazN">Metadata!$C$1040</definedName>
    <definedName name="_Vhd5ir4RuJW">Metadata!$C$832</definedName>
    <definedName name="_vhjxKd80p4D">Metadata!$C$440</definedName>
    <definedName name="_ViLbVtzGWM5">Metadata!$C$141</definedName>
    <definedName name="_viM9AeYtFV6">Metadata!$C$543</definedName>
    <definedName name="_VIMlhSMF1Yl">Metadata!$C$254</definedName>
    <definedName name="_VioJV8V3lMO">Metadata!$C$575</definedName>
    <definedName name="_VIWOOPfPUnX">Metadata!$C$43</definedName>
    <definedName name="_VjdgVLwPWfZ">Metadata!$C$651</definedName>
    <definedName name="_VJrTuNXAg9G">Metadata!$C$1281</definedName>
    <definedName name="_vkXlj7ZPkGi">Metadata!$C$1216</definedName>
    <definedName name="_Vlqc8aT5PAo">Metadata!$C$598</definedName>
    <definedName name="_VLSa4evEl7A">Metadata!$C$475</definedName>
    <definedName name="_VmhSidKIxMp">Metadata!$C$432</definedName>
    <definedName name="_VMqDEughMuP">Metadata!$C$1270</definedName>
    <definedName name="_vnbnnSZXGTv">Metadata!$C$1112</definedName>
    <definedName name="_VnTycSnraEY">Metadata!$C$1120</definedName>
    <definedName name="_vnulYqEDjxA">Metadata!$C$356</definedName>
    <definedName name="_vnwzR6DohHp">Metadata!$C$497</definedName>
    <definedName name="_VOFBd8mUdSi">Metadata!$C$750</definedName>
    <definedName name="_voFQpOGhWOo">Metadata!$C$892</definedName>
    <definedName name="_VPesUmegQpP">Metadata!$C$1077</definedName>
    <definedName name="_vPoFz9J1v6Y">Metadata!$C$1208</definedName>
    <definedName name="_VPShWMVpQkb">Metadata!$C$771</definedName>
    <definedName name="_Vqp2vUC4Umk">Metadata!$C$981</definedName>
    <definedName name="_VTEggpkf7x1">Metadata!$C$985</definedName>
    <definedName name="_vtidz1k9BOw">Metadata!$C$393</definedName>
    <definedName name="_vtjakFLImYg">Metadata!$C$248</definedName>
    <definedName name="_vTu1WOspiNq">Metadata!$C$105</definedName>
    <definedName name="_vwj0hgJQQ8O">Metadata!$C$715</definedName>
    <definedName name="_vwjIQ9qMI2Y">Metadata!$C$855</definedName>
    <definedName name="_VwqhqUCaMgk">Metadata!$C$1230</definedName>
    <definedName name="_VxD9oa7UFFY">Metadata!$C$573</definedName>
    <definedName name="_Vy4zROU78hr">Metadata!$C$707</definedName>
    <definedName name="_VYVKdqiXo4b">Metadata!$C$1042</definedName>
    <definedName name="_vZfb8jHv6hE">Metadata!$C$64</definedName>
    <definedName name="_VZnZ8xJoaIW">Metadata!$C$346</definedName>
    <definedName name="_W1OgOlx2UPS">Metadata!$C$388</definedName>
    <definedName name="_w2TnBNQfOW1">Metadata!$C$986</definedName>
    <definedName name="_w3IJVQhc8Rm">Metadata!$C$1221</definedName>
    <definedName name="_W4IjHlh3nqi">Metadata!$C$92</definedName>
    <definedName name="_w5pFdpuCUW7">Metadata!$C$777</definedName>
    <definedName name="_w9b8i3HljgB">Metadata!$C$36</definedName>
    <definedName name="_WAA3Uun62pk">Metadata!$C$54</definedName>
    <definedName name="_WApLDd37Yj2">Metadata!$C$1149</definedName>
    <definedName name="_wbE8v4xoinz">Metadata!$C$530</definedName>
    <definedName name="_WC5rU5fLMzY">Metadata!$C$1131</definedName>
    <definedName name="_wcnRf5LJrnK">Metadata!$C$665</definedName>
    <definedName name="_weJ3sYiNE8D">Metadata!$C$534</definedName>
    <definedName name="_weKsEzlw3cl">Metadata!$C$418</definedName>
    <definedName name="_wFkq5oB0dFS">Metadata!$C$1279</definedName>
    <definedName name="_wFsm98Bnf40">Metadata!$C$532</definedName>
    <definedName name="_wichhHKwKBi">Metadata!$C$33</definedName>
    <definedName name="_wimH12ukPK5">Metadata!$C$1245</definedName>
    <definedName name="_wJ4GvUwxS9G">Metadata!$C$263</definedName>
    <definedName name="_wj7iV08dvFq">Metadata!$C$1242</definedName>
    <definedName name="_Wl6fGTpQ2aN">Metadata!$C$743</definedName>
    <definedName name="_wlPajJhqkui">Metadata!$C$728</definedName>
    <definedName name="_wMTP4GblKr8">Metadata!$C$1219</definedName>
    <definedName name="_wnuoeS9sVZR">Metadata!$C$1202</definedName>
    <definedName name="_wp6tV9if1us">Metadata!$C$25</definedName>
    <definedName name="_wP7Lmrb01c3">Metadata!$C$459</definedName>
    <definedName name="_WPM1HkXyf6Z">Metadata!$C$375</definedName>
    <definedName name="_Wpzccx0vjIP">Metadata!$C$1215</definedName>
    <definedName name="_wQ1FfvMZU9a">Metadata!$C$200</definedName>
    <definedName name="_wqVNgMM4Qre">Metadata!$C$847</definedName>
    <definedName name="_wrceD1un08Y">Metadata!$C$358</definedName>
    <definedName name="_wSbrjoq0URr">Metadata!$C$209</definedName>
    <definedName name="_WsiM5PuBhjx">Metadata!$C$1001</definedName>
    <definedName name="_WsVBFxzWhi1">Metadata!$C$464</definedName>
    <definedName name="_WtcZBCTspgM">Metadata!$C$1269</definedName>
    <definedName name="_wTnjwDdCIrS">Metadata!$C$361</definedName>
    <definedName name="_WtrglwVLwRf">Metadata!$C$801</definedName>
    <definedName name="_wUBWZEHJm6Q">Metadata!$C$1213</definedName>
    <definedName name="_WuQvgvXKamv">Metadata!$C$1192</definedName>
    <definedName name="_WVEV44P6jtl">Metadata!$C$140</definedName>
    <definedName name="_wvIYNx8b7rt">Metadata!$C$380</definedName>
    <definedName name="_WWvCQd9sUdJ">Metadata!$C$885</definedName>
    <definedName name="_WXGcnQWJ0Qd">Metadata!$C$1101</definedName>
    <definedName name="_WXgZfcbtl5R">Metadata!$C$113</definedName>
    <definedName name="_wXKdiD7gHdx">Metadata!$C$139</definedName>
    <definedName name="_wxLx6U3Q7SB">Metadata!$C$858</definedName>
    <definedName name="_wyKC2eWRH3y">Metadata!$C$1064</definedName>
    <definedName name="_wywD4cOewZX">Metadata!$C$553</definedName>
    <definedName name="_wZhrcYrffI6">Metadata!$C$977</definedName>
    <definedName name="_WzTFiecwTNZ">Metadata!$C$456</definedName>
    <definedName name="_WzTgSXcUNIu">Metadata!$C$891</definedName>
    <definedName name="_x01fgjhSf20">Metadata!$C$657</definedName>
    <definedName name="_x1Ph1zvWDtl">Metadata!$C$826</definedName>
    <definedName name="_X2GCXVmZeEF">Metadata!$C$677</definedName>
    <definedName name="_x6DVvicRjYC">Metadata!$C$1157</definedName>
    <definedName name="_XAFQH7WySNo">Metadata!$C$413</definedName>
    <definedName name="_xb2ezJcUoSR">Metadata!$C$1265</definedName>
    <definedName name="_XB5JA2zOjnB">Metadata!$C$296</definedName>
    <definedName name="_xB6nQN5Wtpg">Metadata!$C$1241</definedName>
    <definedName name="_XbTx2aGNiKd">Metadata!$C$626</definedName>
    <definedName name="_xcotqxKxwlL">Metadata!$C$723</definedName>
    <definedName name="_XCSnh8ISj81">Metadata!$C$504</definedName>
    <definedName name="_XCsof9AN6rv">Metadata!$C$391</definedName>
    <definedName name="_XebDUbuPqVx">Metadata!$C$1155</definedName>
    <definedName name="_xEMVRPiS0JA">Metadata!$C$878</definedName>
    <definedName name="_XeWqwCw9G5s">Metadata!$C$1113</definedName>
    <definedName name="_Xfwd0faXfy0">Metadata!$C$905</definedName>
    <definedName name="_xgbBSeyiDWp">Metadata!$C$785</definedName>
    <definedName name="_xh8g6j8SEXR">Metadata!$C$561</definedName>
    <definedName name="_XI9W6umECmC">Metadata!$C$528</definedName>
    <definedName name="_xIAzxxogcd0">Metadata!$C$1007</definedName>
    <definedName name="_XIHIwocWj9J">Metadata!$C$275</definedName>
    <definedName name="_xIJxneZjiWm">Metadata!$C$759</definedName>
    <definedName name="_XjHXb0aFH5w">Metadata!$C$1088</definedName>
    <definedName name="_XJscL6IuHpd">Metadata!$C$1159</definedName>
    <definedName name="_XKKI1hhyFxk">Metadata!$C$1099</definedName>
    <definedName name="__xl2h6v1N72r">Metadata!$C$765</definedName>
    <definedName name="_XMzAw0vw5Ep">Metadata!$C$284</definedName>
    <definedName name="_XOuEbu7a0Fn">Metadata!$C$69</definedName>
    <definedName name="_XoyjW58PrHc">Metadata!$C$993</definedName>
    <definedName name="_xpa2vZRWT7M">Metadata!$C$194</definedName>
    <definedName name="_XpFH2HpqD2R">Metadata!$C$963</definedName>
    <definedName name="_xqjIL1cGrl1">Metadata!$C$1292</definedName>
    <definedName name="_Xr12mI7VPn3">Metadata!$C$770</definedName>
    <definedName name="_xsXII0TZ5TD">Metadata!$C$696</definedName>
    <definedName name="_xTOiNS0zd6y">Metadata!$C$408</definedName>
    <definedName name="_XTvbzm2HwCZ">Metadata!$C$659</definedName>
    <definedName name="_xUbrx2VHCy1">Metadata!$C$214</definedName>
    <definedName name="_xVfmJLKTvoj">Metadata!$C$368</definedName>
    <definedName name="_XVRPTXuJBQe">Metadata!$C$127</definedName>
    <definedName name="_Xw3tkU97nlR">Metadata!$C$128</definedName>
    <definedName name="_XW4cMFJ3IPd">Metadata!$C$648</definedName>
    <definedName name="_xxeHTOGKpCJ">Metadata!$C$170</definedName>
    <definedName name="_XxT1SCRuVDD">Metadata!$C$702</definedName>
    <definedName name="_xY8dqpdkFDy">Metadata!$C$77</definedName>
    <definedName name="_Xya97JPAwJP">Metadata!$C$217</definedName>
    <definedName name="_XyCaF8fUivl">Metadata!$C$134</definedName>
    <definedName name="_XYpsN5j30R9">Metadata!$C$1183</definedName>
    <definedName name="_xz2VQl9nOPd">Metadata!$C$161</definedName>
    <definedName name="_Xz7rnovuiOx">Metadata!$C$1074</definedName>
    <definedName name="_Y0Al3lbaiSd">Metadata!$C$114</definedName>
    <definedName name="_y18n64afzoH">Metadata!$C$191</definedName>
    <definedName name="_Y1v6mwcswYO">Metadata!$C$802</definedName>
    <definedName name="_y2QmWTVJ0F0">Metadata!$C$297</definedName>
    <definedName name="_y44lwVkMgYI">Metadata!$C$240</definedName>
    <definedName name="_y582ESg0Vjo">Metadata!$C$1085</definedName>
    <definedName name="_Y5XqolkuMAw">Metadata!$C$347</definedName>
    <definedName name="_Y7fcspgsU43">Metadata!$C$1026</definedName>
    <definedName name="_Y8Hqecy92p5">Metadata!$C$610</definedName>
    <definedName name="_y99mLrfSDOg">Metadata!$C$799</definedName>
    <definedName name="_yBqy4nxuOCA">Metadata!$C$1224</definedName>
    <definedName name="_YciopOYKXgG">Metadata!$C$896</definedName>
    <definedName name="_YDDLRoVNxAB">Metadata!$C$664</definedName>
    <definedName name="_yDEKhOz2lvV">Metadata!$C$576</definedName>
    <definedName name="_yelUZHtyQ3J">Metadata!$C$419</definedName>
    <definedName name="_YFD6ZCWbKXZ">Metadata!$C$221</definedName>
    <definedName name="_Yg9QkNQk9p7">Metadata!$C$1105</definedName>
    <definedName name="_yHj8L43hqYg">Metadata!$C$974</definedName>
    <definedName name="_yHo3KEImkCI">Metadata!$C$976</definedName>
    <definedName name="_yj5jWkUtBa9">Metadata!$C$431</definedName>
    <definedName name="_YkjANXB0C7q">Metadata!$C$449</definedName>
    <definedName name="_yKNKfokBA9x">Metadata!$C$102</definedName>
    <definedName name="_YLgpCsLXIoM">Metadata!$C$335</definedName>
    <definedName name="_Ymv0b3wTer7">Metadata!$C$951</definedName>
    <definedName name="_yoh1AojJqBm">Metadata!$C$443</definedName>
    <definedName name="_YOL13ptz4ef">Metadata!$C$1194</definedName>
    <definedName name="_yQRwk01YBir">Metadata!$C$940</definedName>
    <definedName name="_yRAQ7e6fhhL">Metadata!$C$321</definedName>
    <definedName name="_YRiW2W5rC6r">Metadata!$C$936</definedName>
    <definedName name="_YrntQdj71b7">Metadata!$C$1037</definedName>
    <definedName name="_yrP0fOB2Yxv">Metadata!$C$507</definedName>
    <definedName name="_ysEbNJwwJUO">Metadata!$C$787</definedName>
    <definedName name="_YSl2WAd1E5g">Metadata!$C$415</definedName>
    <definedName name="_YuLaFfZxTwJ">Metadata!$C$670</definedName>
    <definedName name="_Yv8K7LjMgnb">Metadata!$C$969</definedName>
    <definedName name="_YVaNna0lZTZ">Metadata!$C$998</definedName>
    <definedName name="_YvRkyv7LXzq">Metadata!$C$188</definedName>
    <definedName name="_ywCZ6qdZsCX">Metadata!$C$282</definedName>
    <definedName name="_yWUBDj8Vyha">Metadata!$C$111</definedName>
    <definedName name="_Yxkvq7nmosQ">Metadata!$C$446</definedName>
    <definedName name="_yYCFsDkV7gN">Metadata!$C$733</definedName>
    <definedName name="_Yz371d8I7vi">Metadata!$C$46</definedName>
    <definedName name="_yzAMOdV0Pmr">Metadata!$C$1211</definedName>
    <definedName name="_Z0aVan7vD82">Metadata!$C$649</definedName>
    <definedName name="_Z0GzM9tZy61">Metadata!$C$1020</definedName>
    <definedName name="_Z0JOHO0MdAY">Metadata!$C$968</definedName>
    <definedName name="_z51rgcc5R8V">Metadata!$C$1125</definedName>
    <definedName name="_z5MSkYMyUDA">Metadata!$C$708</definedName>
    <definedName name="_z5ouOuycTPO">Metadata!$C$1254</definedName>
    <definedName name="_z6awB2DkDD5">Metadata!$C$334</definedName>
    <definedName name="_z8JPjc7MYwc">Metadata!$C$772</definedName>
    <definedName name="_Z9BFNSjihv8">Metadata!$C$999</definedName>
    <definedName name="_zA5RHKBta1T">Metadata!$C$588</definedName>
    <definedName name="_zaluKz5Llai">Metadata!$C$1171</definedName>
    <definedName name="_ZaQ394eW9pZ">Metadata!$C$468</definedName>
    <definedName name="_Zav7juzGmEo">Metadata!$C$1214</definedName>
    <definedName name="_ZcrjvJaYQb7">Metadata!$C$1080</definedName>
    <definedName name="_Zdl3ad7PayF">Metadata!$C$1096</definedName>
    <definedName name="_zdnpGy5G70E">Metadata!$C$680</definedName>
    <definedName name="_zdQFHA4QUXY">Metadata!$C$888</definedName>
    <definedName name="_zexkIIZrZ3B">Metadata!$C$609</definedName>
    <definedName name="_zEYrsiNUGIo">Metadata!$C$1115</definedName>
    <definedName name="_zFInPJBZVbN">Metadata!$C$1082</definedName>
    <definedName name="_zg6B0qb5NY3">Metadata!$C$675</definedName>
    <definedName name="_zgEzHh22TAi">Metadata!$C$151</definedName>
    <definedName name="_Zgk5mud8930">Metadata!$C$586</definedName>
    <definedName name="_zGNcDLRXn25">Metadata!$C$150</definedName>
    <definedName name="_ZgsdoEiTlLq">Metadata!$C$1237</definedName>
    <definedName name="_zjbkGM5ctDz">Metadata!$C$943</definedName>
    <definedName name="_ZmHQN5npDGX">Metadata!$C$730</definedName>
    <definedName name="_zmJu31AVVts">Metadata!$C$479</definedName>
    <definedName name="_ZO5braqROk6">Metadata!$C$792</definedName>
    <definedName name="_zOt4KjY6v7C">Metadata!$C$800</definedName>
    <definedName name="_zpak4f1pJTR">Metadata!$C$455</definedName>
    <definedName name="_ZPgTreSg9Xd">Metadata!$C$344</definedName>
    <definedName name="_ZqdYTyLLuyL">Metadata!$C$726</definedName>
    <definedName name="_ZRxKEGQmkWI">Metadata!$C$1225</definedName>
    <definedName name="_zs2x5LAeI3t">Metadata!$C$471</definedName>
    <definedName name="_ZtjIuqdv5S7">Metadata!$C$85</definedName>
    <definedName name="_ZtOP8DdFvEK">Metadata!$C$890</definedName>
    <definedName name="_Zu69ozCInhL">Metadata!$C$107</definedName>
    <definedName name="_zuo1JfCpvs5">Metadata!$C$897</definedName>
    <definedName name="_zv4Jk259Ks7">Metadata!$C$509</definedName>
    <definedName name="_zVBLVa1TCTI">Metadata!$C$124</definedName>
    <definedName name="_zWqYNMlrEgt">Metadata!$C$4</definedName>
    <definedName name="_ZY2zA1wfmQK">Metadata!$C$1022</definedName>
    <definedName name="_ZYAiR4JMIrY">Metadata!$C$1000</definedName>
    <definedName name="_ZyDNe6r8Rcu">Metadata!$C$753</definedName>
    <definedName name="_zYQqFxQw5jj">Metadata!$C$1271</definedName>
    <definedName name="_ZzJzGAncRcN">Metadata!$C$828</definedName>
    <definedName name="_ZzoDfdWIt6z">Metadata!$C$1061</definedName>
    <definedName name="_ZzxjmR8ys0i">Metadata!$C$341</definedName>
    <definedName name="Q" localSheetId="5">SourceType!$F$1</definedName>
    <definedName name="Q">#REF!</definedName>
    <definedName name="Version_NHWA_MODULE_1_v2">Demographic!$A$1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W2" i="1"/>
  <c r="AC2" i="1"/>
  <c r="AD2" i="1"/>
  <c r="AE2" i="1" s="1"/>
  <c r="AC3" i="1"/>
  <c r="AD3" i="1" s="1"/>
  <c r="C4" i="1"/>
  <c r="G4" i="1"/>
  <c r="AC4" i="1"/>
  <c r="AC5" i="1"/>
  <c r="AD5" i="1" s="1"/>
  <c r="AF6" i="1"/>
  <c r="AG6" i="1"/>
  <c r="AF7" i="1"/>
  <c r="AG7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AC8" i="1"/>
  <c r="AD16" i="1" s="1"/>
  <c r="AC9" i="1"/>
  <c r="AC10" i="1"/>
  <c r="AC11" i="1"/>
  <c r="AC12" i="1"/>
  <c r="AC13" i="1"/>
  <c r="AC14" i="1"/>
  <c r="AC15" i="1"/>
  <c r="AC16" i="1"/>
  <c r="AC17" i="1"/>
  <c r="D18" i="1"/>
  <c r="E18" i="1"/>
  <c r="F18" i="1"/>
  <c r="G18" i="1"/>
  <c r="H18" i="1"/>
  <c r="I18" i="1"/>
  <c r="J18" i="1"/>
  <c r="K18" i="1"/>
  <c r="P18" i="1"/>
  <c r="Q18" i="1"/>
  <c r="R18" i="1"/>
  <c r="S18" i="1"/>
  <c r="T18" i="1"/>
  <c r="U18" i="1"/>
  <c r="V18" i="1"/>
  <c r="AC18" i="1"/>
  <c r="K19" i="1"/>
  <c r="L19" i="1"/>
  <c r="M19" i="1"/>
  <c r="N19" i="1"/>
  <c r="N18" i="1" s="1"/>
  <c r="O19" i="1"/>
  <c r="O18" i="1" s="1"/>
  <c r="AC19" i="1"/>
  <c r="J20" i="1"/>
  <c r="K20" i="1"/>
  <c r="L20" i="1"/>
  <c r="M20" i="1"/>
  <c r="N20" i="1"/>
  <c r="AC20" i="1"/>
  <c r="AC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AC22" i="1"/>
  <c r="AC23" i="1"/>
  <c r="AD23" i="1"/>
  <c r="AC24" i="1"/>
  <c r="AC25" i="1"/>
  <c r="AC26" i="1"/>
  <c r="AC27" i="1"/>
  <c r="X28" i="1"/>
  <c r="X27" i="1" s="1"/>
  <c r="X26" i="1" s="1"/>
  <c r="X25" i="1" s="1"/>
  <c r="X24" i="1" s="1"/>
  <c r="X23" i="1" s="1"/>
  <c r="X22" i="1" s="1"/>
  <c r="X21" i="1" s="1"/>
  <c r="X20" i="1" s="1"/>
  <c r="X19" i="1" s="1"/>
  <c r="X18" i="1" s="1"/>
  <c r="X17" i="1" s="1"/>
  <c r="X16" i="1" s="1"/>
  <c r="X15" i="1" s="1"/>
  <c r="X14" i="1" s="1"/>
  <c r="X13" i="1" s="1"/>
  <c r="X12" i="1" s="1"/>
  <c r="X11" i="1" s="1"/>
  <c r="X10" i="1" s="1"/>
  <c r="AC28" i="1"/>
  <c r="AD28" i="1"/>
  <c r="AC29" i="1"/>
  <c r="AC30" i="1"/>
  <c r="AC31" i="1"/>
  <c r="AC32" i="1"/>
  <c r="AC33" i="1"/>
  <c r="AC34" i="1"/>
  <c r="AC35" i="1"/>
  <c r="AC36" i="1"/>
  <c r="AC37" i="1"/>
  <c r="AC38" i="1"/>
  <c r="AC39" i="1"/>
  <c r="AD39" i="1"/>
  <c r="AC40" i="1"/>
  <c r="AC41" i="1"/>
  <c r="AC42" i="1"/>
  <c r="AC43" i="1"/>
  <c r="AC44" i="1"/>
  <c r="AC45" i="1"/>
  <c r="AC46" i="1"/>
  <c r="AD46" i="1" s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D62" i="1" s="1"/>
  <c r="AC63" i="1"/>
  <c r="AC64" i="1"/>
  <c r="AC65" i="1"/>
  <c r="AC67" i="1"/>
  <c r="AC71" i="1"/>
  <c r="AC72" i="1"/>
  <c r="AC73" i="1"/>
  <c r="AC74" i="1"/>
  <c r="AC75" i="1"/>
  <c r="AD75" i="1" s="1"/>
  <c r="AC76" i="1"/>
  <c r="AC77" i="1"/>
  <c r="AD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D107" i="1" s="1"/>
  <c r="AC108" i="1"/>
  <c r="AC109" i="1"/>
  <c r="AD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D139" i="1" s="1"/>
  <c r="AC140" i="1"/>
  <c r="AC141" i="1"/>
  <c r="AD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D161" i="1"/>
  <c r="AC162" i="1"/>
  <c r="AC163" i="1"/>
  <c r="AC164" i="1"/>
  <c r="AC165" i="1"/>
  <c r="AD165" i="1" s="1"/>
  <c r="AC166" i="1"/>
  <c r="AC167" i="1"/>
  <c r="AC168" i="1"/>
  <c r="AC169" i="1"/>
  <c r="AD169" i="1" s="1"/>
  <c r="AC170" i="1"/>
  <c r="AD170" i="1" s="1"/>
  <c r="AC171" i="1"/>
  <c r="AD171" i="1"/>
  <c r="AC172" i="1"/>
  <c r="AC173" i="1"/>
  <c r="AD173" i="1"/>
  <c r="AC174" i="1"/>
  <c r="AC175" i="1"/>
  <c r="AC176" i="1"/>
  <c r="AD176" i="1" s="1"/>
  <c r="AC177" i="1"/>
  <c r="AC178" i="1"/>
  <c r="AD178" i="1"/>
  <c r="AC179" i="1"/>
  <c r="AC180" i="1"/>
  <c r="AC181" i="1"/>
  <c r="AD181" i="1" s="1"/>
  <c r="AC182" i="1"/>
  <c r="AC183" i="1"/>
  <c r="AC184" i="1"/>
  <c r="AC185" i="1"/>
  <c r="AD185" i="1" s="1"/>
  <c r="AC186" i="1"/>
  <c r="AD186" i="1" s="1"/>
  <c r="AC187" i="1"/>
  <c r="AD187" i="1"/>
  <c r="AC188" i="1"/>
  <c r="AC189" i="1"/>
  <c r="AD189" i="1"/>
  <c r="AC190" i="1"/>
  <c r="AC191" i="1"/>
  <c r="AC192" i="1"/>
  <c r="AD192" i="1" s="1"/>
  <c r="AC193" i="1"/>
  <c r="AC194" i="1"/>
  <c r="AD194" i="1"/>
  <c r="AC195" i="1"/>
  <c r="AC196" i="1"/>
  <c r="AC197" i="1"/>
  <c r="AC198" i="1"/>
  <c r="AC199" i="1"/>
  <c r="AC200" i="1"/>
  <c r="AC201" i="1"/>
  <c r="AD201" i="1" s="1"/>
  <c r="AC202" i="1"/>
  <c r="AC203" i="1"/>
  <c r="AD203" i="1"/>
  <c r="AC204" i="1"/>
  <c r="AC205" i="1"/>
  <c r="AD205" i="1"/>
  <c r="AC206" i="1"/>
  <c r="AC207" i="1"/>
  <c r="AD207" i="1" s="1"/>
  <c r="AC208" i="1"/>
  <c r="AC209" i="1"/>
  <c r="AD209" i="1"/>
  <c r="AC210" i="1"/>
  <c r="AC211" i="1"/>
  <c r="AD211" i="1" s="1"/>
  <c r="AC212" i="1"/>
  <c r="AC213" i="1"/>
  <c r="AD213" i="1"/>
  <c r="AC214" i="1"/>
  <c r="AC215" i="1"/>
  <c r="AD215" i="1" s="1"/>
  <c r="AC216" i="1"/>
  <c r="AC217" i="1"/>
  <c r="AD217" i="1"/>
  <c r="AC218" i="1"/>
  <c r="AC219" i="1"/>
  <c r="AD219" i="1" s="1"/>
  <c r="AC220" i="1"/>
  <c r="AC221" i="1"/>
  <c r="AD221" i="1"/>
  <c r="AC222" i="1"/>
  <c r="AC223" i="1"/>
  <c r="AD223" i="1" s="1"/>
  <c r="AC224" i="1"/>
  <c r="AC225" i="1"/>
  <c r="AD225" i="1"/>
  <c r="AC226" i="1"/>
  <c r="AC227" i="1"/>
  <c r="AD227" i="1" s="1"/>
  <c r="AC228" i="1"/>
  <c r="AC229" i="1"/>
  <c r="AD229" i="1"/>
  <c r="AC230" i="1"/>
  <c r="AC231" i="1"/>
  <c r="AD231" i="1" s="1"/>
  <c r="AC232" i="1"/>
  <c r="AC233" i="1"/>
  <c r="AD233" i="1"/>
  <c r="AC234" i="1"/>
  <c r="AC235" i="1"/>
  <c r="AD235" i="1" s="1"/>
  <c r="AC236" i="1"/>
  <c r="AC237" i="1"/>
  <c r="AD237" i="1"/>
  <c r="AC238" i="1"/>
  <c r="AC239" i="1"/>
  <c r="AD239" i="1" s="1"/>
  <c r="AC240" i="1"/>
  <c r="AC241" i="1"/>
  <c r="AD241" i="1"/>
  <c r="AC242" i="1"/>
  <c r="AC243" i="1"/>
  <c r="AD243" i="1" s="1"/>
  <c r="AC244" i="1"/>
  <c r="AC245" i="1"/>
  <c r="AD245" i="1"/>
  <c r="AC246" i="1"/>
  <c r="AC247" i="1"/>
  <c r="AD247" i="1" s="1"/>
  <c r="AC248" i="1"/>
  <c r="AC249" i="1"/>
  <c r="AD249" i="1"/>
  <c r="AC250" i="1"/>
  <c r="AC251" i="1"/>
  <c r="AD251" i="1" s="1"/>
  <c r="AC252" i="1"/>
  <c r="AC253" i="1"/>
  <c r="AD253" i="1"/>
  <c r="AC254" i="1"/>
  <c r="AC255" i="1"/>
  <c r="AD255" i="1" s="1"/>
  <c r="AC256" i="1"/>
  <c r="AC257" i="1"/>
  <c r="AD257" i="1"/>
  <c r="AC258" i="1"/>
  <c r="AC259" i="1"/>
  <c r="AD259" i="1" s="1"/>
  <c r="AC260" i="1"/>
  <c r="AC261" i="1"/>
  <c r="AD261" i="1"/>
  <c r="AC262" i="1"/>
  <c r="AC263" i="1"/>
  <c r="AD263" i="1" s="1"/>
  <c r="AC264" i="1"/>
  <c r="C4" i="2"/>
  <c r="H4" i="2"/>
  <c r="N4" i="2"/>
  <c r="D9" i="2"/>
  <c r="E9" i="2"/>
  <c r="F9" i="2"/>
  <c r="G9" i="2"/>
  <c r="H9" i="2"/>
  <c r="I9" i="2"/>
  <c r="J9" i="2"/>
  <c r="K9" i="2"/>
  <c r="L9" i="2"/>
  <c r="M9" i="2"/>
  <c r="N9" i="2"/>
  <c r="O9" i="2"/>
  <c r="P9" i="2"/>
  <c r="D10" i="2"/>
  <c r="D11" i="2"/>
  <c r="D12" i="2"/>
  <c r="D13" i="2"/>
  <c r="D14" i="2"/>
  <c r="D15" i="2"/>
  <c r="D16" i="2"/>
  <c r="D17" i="2"/>
  <c r="D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D21" i="2"/>
  <c r="D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Q2" i="3"/>
  <c r="C4" i="3"/>
  <c r="F4" i="3"/>
  <c r="O4" i="3"/>
  <c r="C4" i="4"/>
  <c r="G4" i="4"/>
  <c r="M4" i="4"/>
  <c r="D11" i="4"/>
  <c r="E11" i="4"/>
  <c r="F11" i="4"/>
  <c r="G11" i="4"/>
  <c r="H11" i="4"/>
  <c r="I11" i="4"/>
  <c r="J11" i="4"/>
  <c r="K11" i="4"/>
  <c r="L11" i="4"/>
  <c r="M11" i="4"/>
  <c r="D12" i="4"/>
  <c r="D13" i="4"/>
  <c r="D14" i="4"/>
  <c r="D15" i="4"/>
  <c r="D16" i="4"/>
  <c r="D17" i="4"/>
  <c r="D18" i="4"/>
  <c r="D19" i="4"/>
  <c r="D20" i="4"/>
  <c r="D21" i="4"/>
  <c r="E21" i="4"/>
  <c r="F21" i="4"/>
  <c r="G21" i="4"/>
  <c r="H21" i="4"/>
  <c r="I21" i="4"/>
  <c r="J21" i="4"/>
  <c r="K21" i="4"/>
  <c r="L21" i="4"/>
  <c r="M21" i="4"/>
  <c r="D22" i="4"/>
  <c r="D23" i="4"/>
  <c r="D24" i="4"/>
  <c r="D25" i="4"/>
  <c r="E25" i="4"/>
  <c r="F25" i="4"/>
  <c r="G25" i="4"/>
  <c r="H25" i="4"/>
  <c r="I25" i="4"/>
  <c r="J25" i="4"/>
  <c r="K25" i="4"/>
  <c r="L25" i="4"/>
  <c r="M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T2" i="5"/>
  <c r="C4" i="5"/>
  <c r="F4" i="5"/>
  <c r="L4" i="5"/>
  <c r="C4" i="6"/>
  <c r="F4" i="6"/>
  <c r="I4" i="6"/>
  <c r="C4" i="7"/>
  <c r="F4" i="7"/>
  <c r="J4" i="7"/>
  <c r="D11" i="7"/>
  <c r="E11" i="7"/>
  <c r="F11" i="7"/>
  <c r="D12" i="7"/>
  <c r="D13" i="7"/>
  <c r="D14" i="7"/>
  <c r="D15" i="7"/>
  <c r="D16" i="7"/>
  <c r="D17" i="7"/>
  <c r="D18" i="7"/>
  <c r="D19" i="7"/>
  <c r="D20" i="7"/>
  <c r="D21" i="7"/>
  <c r="E21" i="7"/>
  <c r="F21" i="7"/>
  <c r="D22" i="7"/>
  <c r="D23" i="7"/>
  <c r="D24" i="7"/>
  <c r="D25" i="7"/>
  <c r="E25" i="7"/>
  <c r="F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A1" i="8"/>
  <c r="A3" i="8"/>
  <c r="C3" i="8"/>
  <c r="D3" i="8"/>
  <c r="E3" i="8"/>
  <c r="A4" i="8"/>
  <c r="D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E3" i="1" l="1"/>
  <c r="AD150" i="1"/>
  <c r="AD133" i="1"/>
  <c r="AD120" i="1"/>
  <c r="AD112" i="1"/>
  <c r="AD80" i="1"/>
  <c r="AD264" i="1"/>
  <c r="AD262" i="1"/>
  <c r="AD258" i="1"/>
  <c r="AD254" i="1"/>
  <c r="AD250" i="1"/>
  <c r="AD244" i="1"/>
  <c r="AD242" i="1"/>
  <c r="AD238" i="1"/>
  <c r="AD234" i="1"/>
  <c r="AD228" i="1"/>
  <c r="AD226" i="1"/>
  <c r="AD222" i="1"/>
  <c r="AD216" i="1"/>
  <c r="AD214" i="1"/>
  <c r="AD208" i="1"/>
  <c r="AD202" i="1"/>
  <c r="AD200" i="1"/>
  <c r="AD197" i="1"/>
  <c r="AD195" i="1"/>
  <c r="AD193" i="1"/>
  <c r="AD184" i="1"/>
  <c r="AD179" i="1"/>
  <c r="AD177" i="1"/>
  <c r="AD168" i="1"/>
  <c r="AD157" i="1"/>
  <c r="AD155" i="1"/>
  <c r="AD125" i="1"/>
  <c r="AD123" i="1"/>
  <c r="AD93" i="1"/>
  <c r="AD91" i="1"/>
  <c r="AD64" i="1"/>
  <c r="AD55" i="1"/>
  <c r="AD44" i="1"/>
  <c r="AD30" i="1"/>
  <c r="AD25" i="1"/>
  <c r="AD8" i="1"/>
  <c r="AE35" i="1" s="1"/>
  <c r="AD11" i="1"/>
  <c r="AD15" i="1"/>
  <c r="AD74" i="1"/>
  <c r="AD82" i="1"/>
  <c r="AD90" i="1"/>
  <c r="AD98" i="1"/>
  <c r="AD106" i="1"/>
  <c r="AD114" i="1"/>
  <c r="AD122" i="1"/>
  <c r="AD130" i="1"/>
  <c r="AD138" i="1"/>
  <c r="AD146" i="1"/>
  <c r="AD154" i="1"/>
  <c r="AD10" i="1"/>
  <c r="AD14" i="1"/>
  <c r="AD24" i="1"/>
  <c r="AD29" i="1"/>
  <c r="AD37" i="1"/>
  <c r="AD45" i="1"/>
  <c r="AD53" i="1"/>
  <c r="AD61" i="1"/>
  <c r="AD73" i="1"/>
  <c r="AD76" i="1"/>
  <c r="AD81" i="1"/>
  <c r="AD84" i="1"/>
  <c r="AD89" i="1"/>
  <c r="AD92" i="1"/>
  <c r="AD97" i="1"/>
  <c r="AD100" i="1"/>
  <c r="AD105" i="1"/>
  <c r="AD108" i="1"/>
  <c r="AD113" i="1"/>
  <c r="AD116" i="1"/>
  <c r="AD121" i="1"/>
  <c r="AD124" i="1"/>
  <c r="AD129" i="1"/>
  <c r="AD132" i="1"/>
  <c r="AD137" i="1"/>
  <c r="AD140" i="1"/>
  <c r="AD145" i="1"/>
  <c r="AD148" i="1"/>
  <c r="AD153" i="1"/>
  <c r="AD156" i="1"/>
  <c r="AD159" i="1"/>
  <c r="AD163" i="1"/>
  <c r="AD21" i="1"/>
  <c r="AD33" i="1"/>
  <c r="AD49" i="1"/>
  <c r="AD65" i="1"/>
  <c r="AD78" i="1"/>
  <c r="AD94" i="1"/>
  <c r="AD110" i="1"/>
  <c r="AD126" i="1"/>
  <c r="AD142" i="1"/>
  <c r="AD158" i="1"/>
  <c r="AD162" i="1"/>
  <c r="AD167" i="1"/>
  <c r="AD175" i="1"/>
  <c r="AD183" i="1"/>
  <c r="AD191" i="1"/>
  <c r="AD199" i="1"/>
  <c r="AD9" i="1"/>
  <c r="AD13" i="1"/>
  <c r="AD17" i="1"/>
  <c r="AD22" i="1"/>
  <c r="AD26" i="1"/>
  <c r="AD31" i="1"/>
  <c r="AD36" i="1"/>
  <c r="AD47" i="1"/>
  <c r="AD52" i="1"/>
  <c r="AD63" i="1"/>
  <c r="AD19" i="1"/>
  <c r="AE258" i="1" s="1"/>
  <c r="AD20" i="1"/>
  <c r="AD41" i="1"/>
  <c r="AD198" i="1"/>
  <c r="AD182" i="1"/>
  <c r="AD166" i="1"/>
  <c r="AD152" i="1"/>
  <c r="AD144" i="1"/>
  <c r="AD118" i="1"/>
  <c r="AD101" i="1"/>
  <c r="AD88" i="1"/>
  <c r="AD86" i="1"/>
  <c r="AD35" i="1"/>
  <c r="AD260" i="1"/>
  <c r="AD256" i="1"/>
  <c r="AD252" i="1"/>
  <c r="AD248" i="1"/>
  <c r="AD246" i="1"/>
  <c r="AD240" i="1"/>
  <c r="AD236" i="1"/>
  <c r="AD232" i="1"/>
  <c r="AD230" i="1"/>
  <c r="AD224" i="1"/>
  <c r="AD220" i="1"/>
  <c r="AD218" i="1"/>
  <c r="AD212" i="1"/>
  <c r="AD210" i="1"/>
  <c r="AD206" i="1"/>
  <c r="AD190" i="1"/>
  <c r="AD174" i="1"/>
  <c r="AD149" i="1"/>
  <c r="AD136" i="1"/>
  <c r="AD134" i="1"/>
  <c r="AD128" i="1"/>
  <c r="AD117" i="1"/>
  <c r="AD104" i="1"/>
  <c r="AD102" i="1"/>
  <c r="AD96" i="1"/>
  <c r="AD85" i="1"/>
  <c r="AD72" i="1"/>
  <c r="AD60" i="1"/>
  <c r="AD57" i="1"/>
  <c r="AD51" i="1"/>
  <c r="AD27" i="1"/>
  <c r="AD12" i="1"/>
  <c r="M18" i="1"/>
  <c r="AD59" i="1"/>
  <c r="AD54" i="1"/>
  <c r="AD43" i="1"/>
  <c r="AD38" i="1"/>
  <c r="AD48" i="1"/>
  <c r="AD32" i="1"/>
  <c r="AD18" i="1"/>
  <c r="AD204" i="1"/>
  <c r="AD196" i="1"/>
  <c r="AD188" i="1"/>
  <c r="AD180" i="1"/>
  <c r="AD172" i="1"/>
  <c r="AD164" i="1"/>
  <c r="AD160" i="1"/>
  <c r="AD147" i="1"/>
  <c r="AD131" i="1"/>
  <c r="AD115" i="1"/>
  <c r="AD99" i="1"/>
  <c r="AD83" i="1"/>
  <c r="AD56" i="1"/>
  <c r="AD40" i="1"/>
  <c r="AE214" i="1" s="1"/>
  <c r="AD67" i="1"/>
  <c r="AD58" i="1"/>
  <c r="AD50" i="1"/>
  <c r="AD42" i="1"/>
  <c r="AD34" i="1"/>
  <c r="L18" i="1"/>
  <c r="AD151" i="1"/>
  <c r="AD143" i="1"/>
  <c r="AD135" i="1"/>
  <c r="AD127" i="1"/>
  <c r="AD119" i="1"/>
  <c r="AD111" i="1"/>
  <c r="AD103" i="1"/>
  <c r="AD95" i="1"/>
  <c r="AD87" i="1"/>
  <c r="AD79" i="1"/>
  <c r="AD71" i="1"/>
  <c r="AD4" i="1"/>
  <c r="AE211" i="1" l="1"/>
  <c r="AE259" i="1"/>
  <c r="AE134" i="1"/>
  <c r="AE97" i="1"/>
  <c r="AE184" i="1"/>
  <c r="AE218" i="1"/>
  <c r="AE50" i="1"/>
  <c r="AE244" i="1"/>
  <c r="AE212" i="1"/>
  <c r="AE180" i="1"/>
  <c r="AE142" i="1"/>
  <c r="AE78" i="1"/>
  <c r="AE257" i="1"/>
  <c r="AE225" i="1"/>
  <c r="AE186" i="1"/>
  <c r="AE73" i="1"/>
  <c r="AE27" i="1"/>
  <c r="AE143" i="1"/>
  <c r="AE111" i="1"/>
  <c r="AE79" i="1"/>
  <c r="AE25" i="1"/>
  <c r="AE181" i="1"/>
  <c r="AE141" i="1"/>
  <c r="AE77" i="1"/>
  <c r="AE38" i="1"/>
  <c r="AE152" i="1"/>
  <c r="AE120" i="1"/>
  <c r="AE88" i="1"/>
  <c r="AE72" i="1"/>
  <c r="AE51" i="1"/>
  <c r="AE8" i="1"/>
  <c r="AE86" i="1"/>
  <c r="AE118" i="1"/>
  <c r="AE150" i="1"/>
  <c r="AE182" i="1"/>
  <c r="AH7" i="1"/>
  <c r="AE18" i="1"/>
  <c r="AE166" i="1"/>
  <c r="AE198" i="1"/>
  <c r="AE81" i="1"/>
  <c r="AE145" i="1"/>
  <c r="AE19" i="1"/>
  <c r="AE61" i="1"/>
  <c r="AE163" i="1"/>
  <c r="AE230" i="1"/>
  <c r="AE36" i="1"/>
  <c r="AE240" i="1"/>
  <c r="AE191" i="1"/>
  <c r="AE162" i="1"/>
  <c r="AE99" i="1"/>
  <c r="AE13" i="1"/>
  <c r="AE253" i="1"/>
  <c r="AE205" i="1"/>
  <c r="AE121" i="1"/>
  <c r="AE60" i="1"/>
  <c r="AE23" i="1"/>
  <c r="AE138" i="1"/>
  <c r="AE106" i="1"/>
  <c r="AE74" i="1"/>
  <c r="AE15" i="1"/>
  <c r="AE177" i="1"/>
  <c r="AE133" i="1"/>
  <c r="AE65" i="1"/>
  <c r="AE33" i="1"/>
  <c r="AE148" i="1"/>
  <c r="AE63" i="1"/>
  <c r="AE107" i="1"/>
  <c r="AE176" i="1"/>
  <c r="AE203" i="1"/>
  <c r="AE219" i="1"/>
  <c r="AE235" i="1"/>
  <c r="AE251" i="1"/>
  <c r="AE226" i="1"/>
  <c r="AE67" i="1" a="1"/>
  <c r="AE67" i="1" s="1"/>
  <c r="AE168" i="1"/>
  <c r="AE200" i="1"/>
  <c r="AE234" i="1"/>
  <c r="AE254" i="1"/>
  <c r="AE34" i="1"/>
  <c r="AE252" i="1"/>
  <c r="AE236" i="1"/>
  <c r="AE220" i="1"/>
  <c r="AE204" i="1"/>
  <c r="AE188" i="1"/>
  <c r="AE172" i="1"/>
  <c r="AE158" i="1"/>
  <c r="AE126" i="1"/>
  <c r="AE94" i="1"/>
  <c r="AE29" i="1"/>
  <c r="AE9" i="1"/>
  <c r="AE249" i="1"/>
  <c r="AE233" i="1"/>
  <c r="AE217" i="1"/>
  <c r="AE202" i="1"/>
  <c r="AE170" i="1"/>
  <c r="AE105" i="1"/>
  <c r="AE58" i="1"/>
  <c r="AE37" i="1"/>
  <c r="AE14" i="1"/>
  <c r="AE151" i="1"/>
  <c r="AE135" i="1"/>
  <c r="AE119" i="1"/>
  <c r="AE103" i="1"/>
  <c r="AE87" i="1"/>
  <c r="AE71" i="1"/>
  <c r="AE40" i="1"/>
  <c r="AE11" i="1"/>
  <c r="AE189" i="1"/>
  <c r="AE173" i="1"/>
  <c r="AE157" i="1"/>
  <c r="AE125" i="1"/>
  <c r="AE93" i="1"/>
  <c r="AE62" i="1"/>
  <c r="AE46" i="1"/>
  <c r="AE30" i="1"/>
  <c r="AE12" i="1"/>
  <c r="AE144" i="1"/>
  <c r="AE128" i="1"/>
  <c r="AE112" i="1"/>
  <c r="AE96" i="1"/>
  <c r="AE80" i="1"/>
  <c r="AE59" i="1"/>
  <c r="AE43" i="1"/>
  <c r="AE21" i="1"/>
  <c r="AE75" i="1"/>
  <c r="AE139" i="1"/>
  <c r="AE171" i="1"/>
  <c r="AE227" i="1"/>
  <c r="AE243" i="1"/>
  <c r="AE129" i="1"/>
  <c r="AE174" i="1"/>
  <c r="AE190" i="1"/>
  <c r="AE246" i="1"/>
  <c r="AE260" i="1"/>
  <c r="AE228" i="1"/>
  <c r="AE196" i="1"/>
  <c r="AE164" i="1"/>
  <c r="AE110" i="1"/>
  <c r="AE17" i="1"/>
  <c r="AE241" i="1"/>
  <c r="AE209" i="1"/>
  <c r="AE137" i="1"/>
  <c r="AE44" i="1"/>
  <c r="AE160" i="1"/>
  <c r="AE127" i="1"/>
  <c r="AE95" i="1"/>
  <c r="AE56" i="1"/>
  <c r="AE197" i="1"/>
  <c r="AE165" i="1"/>
  <c r="AE109" i="1"/>
  <c r="AE54" i="1"/>
  <c r="AE22" i="1"/>
  <c r="AE136" i="1"/>
  <c r="AE104" i="1"/>
  <c r="AE192" i="1"/>
  <c r="AE215" i="1"/>
  <c r="AE231" i="1"/>
  <c r="AE247" i="1"/>
  <c r="AE263" i="1"/>
  <c r="AE222" i="1"/>
  <c r="AE262" i="1"/>
  <c r="AE102" i="1"/>
  <c r="AE195" i="1"/>
  <c r="AE250" i="1"/>
  <c r="AE256" i="1"/>
  <c r="AE224" i="1"/>
  <c r="AE208" i="1"/>
  <c r="AE175" i="1"/>
  <c r="AE131" i="1"/>
  <c r="AE45" i="1"/>
  <c r="AE237" i="1"/>
  <c r="AE221" i="1"/>
  <c r="AE178" i="1"/>
  <c r="AE42" i="1"/>
  <c r="AE154" i="1"/>
  <c r="AE122" i="1"/>
  <c r="AE90" i="1"/>
  <c r="AE48" i="1"/>
  <c r="AE193" i="1"/>
  <c r="AE161" i="1"/>
  <c r="AE101" i="1"/>
  <c r="AE49" i="1"/>
  <c r="AE16" i="1"/>
  <c r="AE132" i="1"/>
  <c r="AE116" i="1"/>
  <c r="AE100" i="1"/>
  <c r="AE84" i="1"/>
  <c r="AE47" i="1"/>
  <c r="AE31" i="1"/>
  <c r="AE5" i="1"/>
  <c r="AE4" i="1"/>
  <c r="AE113" i="1"/>
  <c r="AE159" i="1"/>
  <c r="AE187" i="1"/>
  <c r="AE207" i="1"/>
  <c r="AE223" i="1"/>
  <c r="AE239" i="1"/>
  <c r="AE255" i="1"/>
  <c r="AE123" i="1"/>
  <c r="AE155" i="1"/>
  <c r="AE210" i="1"/>
  <c r="AE242" i="1"/>
  <c r="AE91" i="1"/>
  <c r="AE179" i="1"/>
  <c r="AE206" i="1"/>
  <c r="AE238" i="1"/>
  <c r="AE52" i="1"/>
  <c r="AE264" i="1"/>
  <c r="AE248" i="1"/>
  <c r="AE232" i="1"/>
  <c r="AE216" i="1"/>
  <c r="AE199" i="1"/>
  <c r="AE183" i="1"/>
  <c r="AE167" i="1"/>
  <c r="AE147" i="1"/>
  <c r="AE115" i="1"/>
  <c r="AE83" i="1"/>
  <c r="AE24" i="1"/>
  <c r="AE261" i="1"/>
  <c r="AE245" i="1"/>
  <c r="AE229" i="1"/>
  <c r="AE213" i="1"/>
  <c r="AE194" i="1"/>
  <c r="AE153" i="1"/>
  <c r="AE89" i="1"/>
  <c r="AE53" i="1"/>
  <c r="AE28" i="1"/>
  <c r="AE10" i="1"/>
  <c r="AE146" i="1"/>
  <c r="AE130" i="1"/>
  <c r="AE114" i="1"/>
  <c r="AE98" i="1"/>
  <c r="AE82" i="1"/>
  <c r="AE64" i="1"/>
  <c r="AE32" i="1"/>
  <c r="AE201" i="1"/>
  <c r="AE185" i="1"/>
  <c r="AE169" i="1"/>
  <c r="AE149" i="1"/>
  <c r="AE117" i="1"/>
  <c r="AE85" i="1"/>
  <c r="AE57" i="1"/>
  <c r="AE41" i="1"/>
  <c r="AE26" i="1"/>
  <c r="AE156" i="1"/>
  <c r="AE140" i="1"/>
  <c r="AE124" i="1"/>
  <c r="AE108" i="1"/>
  <c r="AE92" i="1"/>
  <c r="AE76" i="1"/>
  <c r="AE55" i="1"/>
  <c r="AE39" i="1"/>
  <c r="AE20" i="1"/>
  <c r="AH6" i="1"/>
</calcChain>
</file>

<file path=xl/sharedStrings.xml><?xml version="1.0" encoding="utf-8"?>
<sst xmlns="http://schemas.openxmlformats.org/spreadsheetml/2006/main" count="6264" uniqueCount="2632">
  <si>
    <t>NHWA_MODULE_1_v2</t>
  </si>
  <si>
    <t xml:space="preserve">NATIONAL  HEALTH WORKFORCE ACCOUNTS DATA </t>
  </si>
  <si>
    <t>Name</t>
  </si>
  <si>
    <t>Uid</t>
  </si>
  <si>
    <t>ISO</t>
  </si>
  <si>
    <t>Regional</t>
  </si>
  <si>
    <t>Active Health Workforce Demographic Details</t>
  </si>
  <si>
    <t>Afghanistan</t>
  </si>
  <si>
    <t>oofyLUJJ6Vy</t>
  </si>
  <si>
    <t>AFG</t>
  </si>
  <si>
    <t>EMR</t>
  </si>
  <si>
    <t>Albania</t>
  </si>
  <si>
    <t>VGOzFKfSazN</t>
  </si>
  <si>
    <t>ALB</t>
  </si>
  <si>
    <t>EUR</t>
  </si>
  <si>
    <t>COUNTRY:</t>
  </si>
  <si>
    <t>REGION:</t>
  </si>
  <si>
    <t>PERIOD:</t>
  </si>
  <si>
    <t>Algeria</t>
  </si>
  <si>
    <t>mNa42CHbkO7</t>
  </si>
  <si>
    <t>DZA</t>
  </si>
  <si>
    <t>AFR</t>
  </si>
  <si>
    <t>American Samoa</t>
  </si>
  <si>
    <t>VYVKdqiXo4b</t>
  </si>
  <si>
    <t>ASM</t>
  </si>
  <si>
    <t>WPR</t>
  </si>
  <si>
    <t>SN</t>
  </si>
  <si>
    <t>Occupation</t>
  </si>
  <si>
    <t>Total</t>
  </si>
  <si>
    <t>Activity Level</t>
  </si>
  <si>
    <t>Gender</t>
  </si>
  <si>
    <t>Age Group</t>
  </si>
  <si>
    <t>Place of Birth</t>
  </si>
  <si>
    <t>Place of Training</t>
  </si>
  <si>
    <t>Place of Training (foreign trained)</t>
  </si>
  <si>
    <t>Andorra</t>
  </si>
  <si>
    <t>Rmy6DbwekE1</t>
  </si>
  <si>
    <t>AND</t>
  </si>
  <si>
    <t>Practising</t>
  </si>
  <si>
    <t>Professionally Active</t>
  </si>
  <si>
    <t>Licensed to practice</t>
  </si>
  <si>
    <t>Male</t>
  </si>
  <si>
    <t>Female</t>
  </si>
  <si>
    <t>&lt;25 yrs</t>
  </si>
  <si>
    <t>25-34 yrs</t>
  </si>
  <si>
    <t>35-44 yrs</t>
  </si>
  <si>
    <t>45-54 yrs</t>
  </si>
  <si>
    <t>55-64 yrs</t>
  </si>
  <si>
    <t>&gt; 65 yrs</t>
  </si>
  <si>
    <t>National Born</t>
  </si>
  <si>
    <t>Foreign Born</t>
  </si>
  <si>
    <t>National trained</t>
  </si>
  <si>
    <t>Foreign Trained</t>
  </si>
  <si>
    <t>Unknown</t>
  </si>
  <si>
    <t>Angola</t>
  </si>
  <si>
    <t>jFOZHDZpjPL</t>
  </si>
  <si>
    <t>AGO</t>
  </si>
  <si>
    <t>Medical Doctors</t>
  </si>
  <si>
    <t>Anguilla</t>
  </si>
  <si>
    <t>f4ZFD2aswys</t>
  </si>
  <si>
    <t>AIA</t>
  </si>
  <si>
    <t>AMR</t>
  </si>
  <si>
    <t xml:space="preserve">    General Medical Practitioners (incl. Family medical practitioners)</t>
  </si>
  <si>
    <t>Antigua and Barbuda</t>
  </si>
  <si>
    <t>pfhvgmllA9M</t>
  </si>
  <si>
    <t>ATG</t>
  </si>
  <si>
    <t xml:space="preserve">    Specialist Medical Practitioners</t>
  </si>
  <si>
    <t>Argentina</t>
  </si>
  <si>
    <t>AZdPnw0b1lm</t>
  </si>
  <si>
    <t>ARG</t>
  </si>
  <si>
    <t>1.2.1</t>
  </si>
  <si>
    <t xml:space="preserve">        General paediatricians</t>
  </si>
  <si>
    <t>Armenia</t>
  </si>
  <si>
    <t>cWrL45je7mw</t>
  </si>
  <si>
    <t>ARM</t>
  </si>
  <si>
    <t>1.2.2</t>
  </si>
  <si>
    <t xml:space="preserve">        Obstetricians and Gynaecologists</t>
  </si>
  <si>
    <t>Aruba</t>
  </si>
  <si>
    <t>lKZR6UK0afN</t>
  </si>
  <si>
    <t>ABW</t>
  </si>
  <si>
    <t>1.2.3</t>
  </si>
  <si>
    <t xml:space="preserve">        Psychiatrists Practitioners</t>
  </si>
  <si>
    <t>Australia</t>
  </si>
  <si>
    <t>LbWpsX1FJcC</t>
  </si>
  <si>
    <t>AUS</t>
  </si>
  <si>
    <t>1.2.4</t>
  </si>
  <si>
    <t xml:space="preserve">        Medical group of Specialists Practitioners</t>
  </si>
  <si>
    <t>Austria</t>
  </si>
  <si>
    <t>e9IoKRAkYLO</t>
  </si>
  <si>
    <t>AUT</t>
  </si>
  <si>
    <t>1.2.5</t>
  </si>
  <si>
    <t xml:space="preserve">        Surgical group of Specialists Practitioners</t>
  </si>
  <si>
    <t>Azerbaijan</t>
  </si>
  <si>
    <t>ST86paYjRHP</t>
  </si>
  <si>
    <t>AZE</t>
  </si>
  <si>
    <t>1.2.6</t>
  </si>
  <si>
    <t xml:space="preserve">        Other Specialists Practitioners</t>
  </si>
  <si>
    <t>Bahamas</t>
  </si>
  <si>
    <t>VbbSe7wgS9s</t>
  </si>
  <si>
    <t>BHS</t>
  </si>
  <si>
    <t xml:space="preserve">    Medical doctors not further defined</t>
  </si>
  <si>
    <t>Bahrain</t>
  </si>
  <si>
    <t>T7tKHiW1Db1</t>
  </si>
  <si>
    <t>BHR</t>
  </si>
  <si>
    <t>Nursing Personnel</t>
  </si>
  <si>
    <t>Bangladesh</t>
  </si>
  <si>
    <t>dNLjKwsVjod</t>
  </si>
  <si>
    <t>BGD</t>
  </si>
  <si>
    <t>SEAR</t>
  </si>
  <si>
    <t xml:space="preserve">    Nursing Professionals</t>
  </si>
  <si>
    <t>Barbados</t>
  </si>
  <si>
    <t>iNT35p3jsEM</t>
  </si>
  <si>
    <t>BRB</t>
  </si>
  <si>
    <t xml:space="preserve">    Nursing Associate Professionals</t>
  </si>
  <si>
    <t>Belgium</t>
  </si>
  <si>
    <t>KwgjnBBpe5b</t>
  </si>
  <si>
    <t>BEL</t>
  </si>
  <si>
    <t xml:space="preserve">    Nurses not further defined</t>
  </si>
  <si>
    <t>Benin</t>
  </si>
  <si>
    <t>DzAOqCf0ots</t>
  </si>
  <si>
    <t>BEN</t>
  </si>
  <si>
    <t>Midwifery personnel</t>
  </si>
  <si>
    <t>Bermuda</t>
  </si>
  <si>
    <t>ZzoDfdWIt6z</t>
  </si>
  <si>
    <t>BMU</t>
  </si>
  <si>
    <t xml:space="preserve">    Midwifery Professionals</t>
  </si>
  <si>
    <t>Bhutan</t>
  </si>
  <si>
    <t>JQ5qF3mRCMe</t>
  </si>
  <si>
    <t>BTN</t>
  </si>
  <si>
    <t xml:space="preserve">    Midwifery Associate Professionals</t>
  </si>
  <si>
    <t>Bolivia (Plurinational State of)</t>
  </si>
  <si>
    <t>cpmmPDsQ3uG</t>
  </si>
  <si>
    <t>BOL</t>
  </si>
  <si>
    <t xml:space="preserve">    Midwives not further defined</t>
  </si>
  <si>
    <t>Bonaire, Saint Eustatius and Saba</t>
  </si>
  <si>
    <t>wyKC2eWRH3y</t>
  </si>
  <si>
    <t>BES</t>
  </si>
  <si>
    <t>Dentists</t>
  </si>
  <si>
    <t>Bosnia and Herzegovina</t>
  </si>
  <si>
    <t>n8iofJiiX4T</t>
  </si>
  <si>
    <t>BIH</t>
  </si>
  <si>
    <t>Dental Assistants and Therapists</t>
  </si>
  <si>
    <t>Botswana</t>
  </si>
  <si>
    <t>c82mDnhUQly</t>
  </si>
  <si>
    <t>BWA</t>
  </si>
  <si>
    <t>Dental Prosthetic Technicians</t>
  </si>
  <si>
    <t>Bouvet Island</t>
  </si>
  <si>
    <t>sg5v6c9tCZ3</t>
  </si>
  <si>
    <t>BVT</t>
  </si>
  <si>
    <t>NA</t>
  </si>
  <si>
    <t>Pharmacists</t>
  </si>
  <si>
    <t>Brazil</t>
  </si>
  <si>
    <t>dpcvWc01CeN</t>
  </si>
  <si>
    <t>BRA</t>
  </si>
  <si>
    <t>Pharmaceutical Technicians</t>
  </si>
  <si>
    <t>British Indian Ocean Territory</t>
  </si>
  <si>
    <t>PFAtPR87fHs</t>
  </si>
  <si>
    <t>IOT</t>
  </si>
  <si>
    <t>Paramedical Practitioners</t>
  </si>
  <si>
    <t>British Virgin Islands</t>
  </si>
  <si>
    <t>u7H4MyT2Y0A</t>
  </si>
  <si>
    <t>VGB</t>
  </si>
  <si>
    <t>Medical and Pathology Laboratory scientists</t>
  </si>
  <si>
    <t>Brunei Darussalam</t>
  </si>
  <si>
    <t>MJEntShoQVK</t>
  </si>
  <si>
    <t>BRN</t>
  </si>
  <si>
    <t>Medical Imaging and Therapeutic Equipment Technicians</t>
  </si>
  <si>
    <t>Bulgaria</t>
  </si>
  <si>
    <t>AjeCGGb8H76</t>
  </si>
  <si>
    <t>BGR</t>
  </si>
  <si>
    <t>Medical and Pathology Laboratory Technicians</t>
  </si>
  <si>
    <t>Burkina Faso</t>
  </si>
  <si>
    <t>hmZE3mVAZFf</t>
  </si>
  <si>
    <t>BFA</t>
  </si>
  <si>
    <t>Environmental and Occupational Health Professionals </t>
  </si>
  <si>
    <t>Burundi</t>
  </si>
  <si>
    <t>Xz7rnovuiOx</t>
  </si>
  <si>
    <t>BDI</t>
  </si>
  <si>
    <t>Environmental and Occupational Health Inspectors/associates</t>
  </si>
  <si>
    <t>Cabo Verde</t>
  </si>
  <si>
    <t>bGWaeVBrOcc</t>
  </si>
  <si>
    <t>CPV</t>
  </si>
  <si>
    <t>Traditional and Complementary Medicine Professionals</t>
  </si>
  <si>
    <t>Cambodia</t>
  </si>
  <si>
    <t>dscgTvwyCw8</t>
  </si>
  <si>
    <t>KHM</t>
  </si>
  <si>
    <t>Traditional and Complementary Medicine Associate Professionals</t>
  </si>
  <si>
    <t>Cameroon</t>
  </si>
  <si>
    <t>VPesUmegQpP</t>
  </si>
  <si>
    <t>CMR</t>
  </si>
  <si>
    <t>Community Health Workers</t>
  </si>
  <si>
    <t>Canada</t>
  </si>
  <si>
    <t>AJBfDthkySs</t>
  </si>
  <si>
    <t>CAN</t>
  </si>
  <si>
    <t>Personal care workers in health service</t>
  </si>
  <si>
    <t>Cayman Islands</t>
  </si>
  <si>
    <t>u3GOCB1Hu01</t>
  </si>
  <si>
    <t>CYM</t>
  </si>
  <si>
    <t xml:space="preserve">    Health Care Assistants</t>
  </si>
  <si>
    <t>Central African Republic</t>
  </si>
  <si>
    <t>ZcrjvJaYQb7</t>
  </si>
  <si>
    <t>CAF</t>
  </si>
  <si>
    <t xml:space="preserve">    Home-based Personal Care</t>
  </si>
  <si>
    <t>Chad</t>
  </si>
  <si>
    <t>tV0rWhHr9cj</t>
  </si>
  <si>
    <t>TCD</t>
  </si>
  <si>
    <t xml:space="preserve">    Personal care workers in health service n.e.c</t>
  </si>
  <si>
    <t>Chile</t>
  </si>
  <si>
    <t>zFInPJBZVbN</t>
  </si>
  <si>
    <t>CHL</t>
  </si>
  <si>
    <t>Physiotherapists</t>
  </si>
  <si>
    <t>China</t>
  </si>
  <si>
    <t>q23bFLr2E5D</t>
  </si>
  <si>
    <t>CHN</t>
  </si>
  <si>
    <t>Physiotherapy Technicians and Assistants</t>
  </si>
  <si>
    <t>China, Hong Kong SAR</t>
  </si>
  <si>
    <t>myv7amOYTHn</t>
  </si>
  <si>
    <t>HKG</t>
  </si>
  <si>
    <t>Dieticians</t>
  </si>
  <si>
    <t>China, Macao SAR</t>
  </si>
  <si>
    <t>y582ESg0Vjo</t>
  </si>
  <si>
    <t>MAC</t>
  </si>
  <si>
    <t>Nutritionists</t>
  </si>
  <si>
    <t>China, Province of Taiwan</t>
  </si>
  <si>
    <t>lGN2n7pZ6Ua</t>
  </si>
  <si>
    <t>TWN</t>
  </si>
  <si>
    <t>Audiologists and Speech Therapists</t>
  </si>
  <si>
    <t>China: Province of Taiwan only</t>
  </si>
  <si>
    <t>a0Tb0vzKk1m</t>
  </si>
  <si>
    <t>XX1</t>
  </si>
  <si>
    <t>Optometrists and Ophthalmic Opticians</t>
  </si>
  <si>
    <t>Christmas Island</t>
  </si>
  <si>
    <t>XjHXb0aFH5w</t>
  </si>
  <si>
    <t>CXR</t>
  </si>
  <si>
    <t>Dispensing Opticians</t>
  </si>
  <si>
    <t>Cocos (Keeling) Islands</t>
  </si>
  <si>
    <t>AFIorEPU00q</t>
  </si>
  <si>
    <t>CCK</t>
  </si>
  <si>
    <t>Medical Prosthetic Technicians</t>
  </si>
  <si>
    <t>Colombia</t>
  </si>
  <si>
    <t>jXQq22U4Y2e</t>
  </si>
  <si>
    <t>COL</t>
  </si>
  <si>
    <t>Medical Records Technicians</t>
  </si>
  <si>
    <t>Comoros</t>
  </si>
  <si>
    <t>RTdjvXHJdnH</t>
  </si>
  <si>
    <t>COM</t>
  </si>
  <si>
    <t>Medical Assistants</t>
  </si>
  <si>
    <t>Congo</t>
  </si>
  <si>
    <t>shRXArPWh8H</t>
  </si>
  <si>
    <t>COG</t>
  </si>
  <si>
    <t>Ambulance Workers</t>
  </si>
  <si>
    <t>Cook Islands</t>
  </si>
  <si>
    <t>TldYkeCwb5r</t>
  </si>
  <si>
    <t>COK</t>
  </si>
  <si>
    <t>Social work and counselling professionals</t>
  </si>
  <si>
    <t>Costa Rica</t>
  </si>
  <si>
    <t>pbH6bmcioGw</t>
  </si>
  <si>
    <t>CRI</t>
  </si>
  <si>
    <t>Social work associate professionals</t>
  </si>
  <si>
    <t>Croatia</t>
  </si>
  <si>
    <t>lbMrRSBsXh3</t>
  </si>
  <si>
    <t>HRV</t>
  </si>
  <si>
    <t>Biomedical engineer</t>
  </si>
  <si>
    <t>Cuba</t>
  </si>
  <si>
    <t>Zdl3ad7PayF</t>
  </si>
  <si>
    <t>CUB</t>
  </si>
  <si>
    <t>Psychologists</t>
  </si>
  <si>
    <t>Curaçao</t>
  </si>
  <si>
    <t>QSpLidCdqMU</t>
  </si>
  <si>
    <t>CUW</t>
  </si>
  <si>
    <t>Medical secretaries</t>
  </si>
  <si>
    <t>Cyprus</t>
  </si>
  <si>
    <t>Mb9IYOFZYCv</t>
  </si>
  <si>
    <t>CYP</t>
  </si>
  <si>
    <t>Managerial staff</t>
  </si>
  <si>
    <t>Czechia</t>
  </si>
  <si>
    <t>XKKI1hhyFxk</t>
  </si>
  <si>
    <t>CZE</t>
  </si>
  <si>
    <t>Administrative staff</t>
  </si>
  <si>
    <t>Czechoslovakia, Former</t>
  </si>
  <si>
    <t>NhuW760cOQG</t>
  </si>
  <si>
    <t>XX5</t>
  </si>
  <si>
    <t>Health information systems personnel</t>
  </si>
  <si>
    <t>Côte d'Ivoire</t>
  </si>
  <si>
    <t>WXGcnQWJ0Qd</t>
  </si>
  <si>
    <t>CIV</t>
  </si>
  <si>
    <t>Engineering and maintenance staff</t>
  </si>
  <si>
    <t>Democratic People's Republic of Korea</t>
  </si>
  <si>
    <t>OFXJXWnOG0R</t>
  </si>
  <si>
    <t>PRK</t>
  </si>
  <si>
    <t>Other non-medical professional staff</t>
  </si>
  <si>
    <t>Democratic Republic of the Congo</t>
  </si>
  <si>
    <t>EDHO4qOyY88</t>
  </si>
  <si>
    <t>COD</t>
  </si>
  <si>
    <t>Other non-medical support staff</t>
  </si>
  <si>
    <t>Denmark</t>
  </si>
  <si>
    <t>CCl7hAqlrmE</t>
  </si>
  <si>
    <t>DNK</t>
  </si>
  <si>
    <t>Epidemiologist (incl. FETP course graduates)</t>
  </si>
  <si>
    <t xml:space="preserve">    Field Epidemiologist</t>
  </si>
  <si>
    <t xml:space="preserve">If you have data on occupations and their source title, that are not listed above please provide below  </t>
  </si>
  <si>
    <t>El Salvador</t>
  </si>
  <si>
    <t>Mk7P920hkBa</t>
  </si>
  <si>
    <t>SLV</t>
  </si>
  <si>
    <t>Equatorial Guinea</t>
  </si>
  <si>
    <t>Fi5lLVwe1Th</t>
  </si>
  <si>
    <t>GNQ</t>
  </si>
  <si>
    <t>Eritrea</t>
  </si>
  <si>
    <t>vnbnnSZXGTv</t>
  </si>
  <si>
    <t>ERI</t>
  </si>
  <si>
    <t>Estonia</t>
  </si>
  <si>
    <t>XeWqwCw9G5s</t>
  </si>
  <si>
    <t>EST</t>
  </si>
  <si>
    <t>Eswatini</t>
  </si>
  <si>
    <t>G3thRWUQAX9</t>
  </si>
  <si>
    <t>SWZ</t>
  </si>
  <si>
    <t>Ethiopia</t>
  </si>
  <si>
    <t>zEYrsiNUGIo</t>
  </si>
  <si>
    <t>ETH</t>
  </si>
  <si>
    <t>Falkland Islands (Malvinas)</t>
  </si>
  <si>
    <t>PRrdILmQQb3</t>
  </si>
  <si>
    <t>FLK</t>
  </si>
  <si>
    <t>Faroe Islands</t>
  </si>
  <si>
    <t>ngUSWwX0Oby</t>
  </si>
  <si>
    <t>FRO</t>
  </si>
  <si>
    <t>Fiji</t>
  </si>
  <si>
    <t>sSIYRwB1r74</t>
  </si>
  <si>
    <t>FJI</t>
  </si>
  <si>
    <t>Finland</t>
  </si>
  <si>
    <t>bnQX2QIuIY9</t>
  </si>
  <si>
    <t>FIN</t>
  </si>
  <si>
    <t>France</t>
  </si>
  <si>
    <t>VnTycSnraEY</t>
  </si>
  <si>
    <t>FRA</t>
  </si>
  <si>
    <t>French Guiana</t>
  </si>
  <si>
    <t>UJVEh0g7qOo</t>
  </si>
  <si>
    <t>GUF</t>
  </si>
  <si>
    <t>French Polynesia</t>
  </si>
  <si>
    <t>QLERXr2o7IE</t>
  </si>
  <si>
    <t>PYF</t>
  </si>
  <si>
    <t>French Southern Territories</t>
  </si>
  <si>
    <t>BLpPqpMtgQY</t>
  </si>
  <si>
    <t>ATF</t>
  </si>
  <si>
    <t>Gabon</t>
  </si>
  <si>
    <t>EGLpIMSAWhx</t>
  </si>
  <si>
    <t>GAB</t>
  </si>
  <si>
    <t>Gambia</t>
  </si>
  <si>
    <t>z51rgcc5R8V</t>
  </si>
  <si>
    <t>GMB</t>
  </si>
  <si>
    <t>Georgia</t>
  </si>
  <si>
    <t>fg8TSIHSGHX</t>
  </si>
  <si>
    <t>GEO</t>
  </si>
  <si>
    <t>Germany</t>
  </si>
  <si>
    <t>Ri2tb7LBVtP</t>
  </si>
  <si>
    <t>DEU</t>
  </si>
  <si>
    <t>Germany, Former Democratic Republic</t>
  </si>
  <si>
    <t>hgGOTFYZxMO</t>
  </si>
  <si>
    <t>XX6</t>
  </si>
  <si>
    <t>Germany, Former Federal Republic</t>
  </si>
  <si>
    <t>E9G2aQpCs1A</t>
  </si>
  <si>
    <t>XX7</t>
  </si>
  <si>
    <t>Germany, West Berlin</t>
  </si>
  <si>
    <t>Fq9qs6Kn6wN</t>
  </si>
  <si>
    <t>XX8</t>
  </si>
  <si>
    <t>Ghana</t>
  </si>
  <si>
    <t>WC5rU5fLMzY</t>
  </si>
  <si>
    <t>GHA</t>
  </si>
  <si>
    <t>Gibraltar</t>
  </si>
  <si>
    <t>BVzmce6DVeS</t>
  </si>
  <si>
    <t>GIB</t>
  </si>
  <si>
    <t>Greece</t>
  </si>
  <si>
    <t>eyvitcZL4ex</t>
  </si>
  <si>
    <t>GRC</t>
  </si>
  <si>
    <t>Greenland</t>
  </si>
  <si>
    <t>IZy3ESdFnp5</t>
  </si>
  <si>
    <t>GRL</t>
  </si>
  <si>
    <t>Grenada</t>
  </si>
  <si>
    <t>gg9DH7dvdeD</t>
  </si>
  <si>
    <t>GRD</t>
  </si>
  <si>
    <t>Guadeloupe</t>
  </si>
  <si>
    <t>cRWrIpjzvVl</t>
  </si>
  <si>
    <t>GLP</t>
  </si>
  <si>
    <t>Guam</t>
  </si>
  <si>
    <t>q9u7nkNkuGy</t>
  </si>
  <si>
    <t>GUM</t>
  </si>
  <si>
    <t>Guatemala</t>
  </si>
  <si>
    <t>bhkJDAiqVKX</t>
  </si>
  <si>
    <t>GTM</t>
  </si>
  <si>
    <t>Guernsey</t>
  </si>
  <si>
    <t>NUkOvK4bnj2</t>
  </si>
  <si>
    <t>GGY</t>
  </si>
  <si>
    <t>Guinea</t>
  </si>
  <si>
    <t>quQpOfBIDFC</t>
  </si>
  <si>
    <t>GIN</t>
  </si>
  <si>
    <t>Guinea-Bissau</t>
  </si>
  <si>
    <t>G9o5ad4oJJX</t>
  </si>
  <si>
    <t>GNB</t>
  </si>
  <si>
    <t>Guyana</t>
  </si>
  <si>
    <t>AUStREIxT4s</t>
  </si>
  <si>
    <t>GUY</t>
  </si>
  <si>
    <t>Haiti</t>
  </si>
  <si>
    <t>ipe4pT2TW7G</t>
  </si>
  <si>
    <t>HTI</t>
  </si>
  <si>
    <t>Heard Island and McDonald Islands</t>
  </si>
  <si>
    <t>apVWLKfARpb</t>
  </si>
  <si>
    <t>HMD</t>
  </si>
  <si>
    <t>Holy See</t>
  </si>
  <si>
    <t>jZOt27rWre8</t>
  </si>
  <si>
    <t>VAT</t>
  </si>
  <si>
    <t>Honduras</t>
  </si>
  <si>
    <t>mDSuyD9lOM5</t>
  </si>
  <si>
    <t>HND</t>
  </si>
  <si>
    <t>Hungary</t>
  </si>
  <si>
    <t>g49fuSiB623</t>
  </si>
  <si>
    <t>HUN</t>
  </si>
  <si>
    <t>Iceland</t>
  </si>
  <si>
    <t>Bc3mYAhlY1a</t>
  </si>
  <si>
    <t>ISL</t>
  </si>
  <si>
    <t>India</t>
  </si>
  <si>
    <t>WApLDd37Yj2</t>
  </si>
  <si>
    <t>IND</t>
  </si>
  <si>
    <t>Indonesia</t>
  </si>
  <si>
    <t>jVqoXv7rFns</t>
  </si>
  <si>
    <t>IDN</t>
  </si>
  <si>
    <t>Iran (Islamic Republic of)</t>
  </si>
  <si>
    <t>SsAjVE1S87E</t>
  </si>
  <si>
    <t>IRN</t>
  </si>
  <si>
    <t>Iraq</t>
  </si>
  <si>
    <t>fHXW26zg2U6</t>
  </si>
  <si>
    <t>IRQ</t>
  </si>
  <si>
    <t>Ireland</t>
  </si>
  <si>
    <t>uvTw0Kus5KZ</t>
  </si>
  <si>
    <t>IRL</t>
  </si>
  <si>
    <t>Isle of Man</t>
  </si>
  <si>
    <t>ehNfKt5LpG9</t>
  </si>
  <si>
    <t>IMN</t>
  </si>
  <si>
    <t>Israel</t>
  </si>
  <si>
    <t>XebDUbuPqVx</t>
  </si>
  <si>
    <t>ISR</t>
  </si>
  <si>
    <t>Italy</t>
  </si>
  <si>
    <t>ElwEWppmGgv</t>
  </si>
  <si>
    <t>ITA</t>
  </si>
  <si>
    <t>Jamaica</t>
  </si>
  <si>
    <t>x6DVvicRjYC</t>
  </si>
  <si>
    <t>JAM</t>
  </si>
  <si>
    <t>Japan</t>
  </si>
  <si>
    <t>JI5lagoUJR4</t>
  </si>
  <si>
    <t>JPN</t>
  </si>
  <si>
    <t>Jersey</t>
  </si>
  <si>
    <t>XJscL6IuHpd</t>
  </si>
  <si>
    <t>JEY</t>
  </si>
  <si>
    <t>Jordan</t>
  </si>
  <si>
    <t>GWQBgBHdbbp</t>
  </si>
  <si>
    <t>JOR</t>
  </si>
  <si>
    <t>Kazakhstan</t>
  </si>
  <si>
    <t>ibGsqmiVkoU</t>
  </si>
  <si>
    <t>KAZ</t>
  </si>
  <si>
    <t>Kenya</t>
  </si>
  <si>
    <t>HfVjCurKxh2</t>
  </si>
  <si>
    <t>KEN</t>
  </si>
  <si>
    <t>Kiribati</t>
  </si>
  <si>
    <t>Nlv8oKkoAwp</t>
  </si>
  <si>
    <t>KIR</t>
  </si>
  <si>
    <t>Kuwait</t>
  </si>
  <si>
    <t>tnTRnfd2aVs</t>
  </si>
  <si>
    <t>KWT</t>
  </si>
  <si>
    <t>Kyrgyzstan</t>
  </si>
  <si>
    <t>tDFavWinSwr</t>
  </si>
  <si>
    <t>KGZ</t>
  </si>
  <si>
    <t>Lao People's Democratic Republic</t>
  </si>
  <si>
    <t>bvyjEfI0d2V</t>
  </si>
  <si>
    <t>LAO</t>
  </si>
  <si>
    <t>Latvia</t>
  </si>
  <si>
    <t>gxi9jcBYyrL</t>
  </si>
  <si>
    <t>LVA</t>
  </si>
  <si>
    <t>Lebanon</t>
  </si>
  <si>
    <t>ACalScnrl2I</t>
  </si>
  <si>
    <t>LBN</t>
  </si>
  <si>
    <t>Lesotho</t>
  </si>
  <si>
    <t>D4JnxOsqwE4</t>
  </si>
  <si>
    <t>LSO</t>
  </si>
  <si>
    <t>Liberia</t>
  </si>
  <si>
    <t>JEHwU064LAj</t>
  </si>
  <si>
    <t>LBR</t>
  </si>
  <si>
    <t>Libya</t>
  </si>
  <si>
    <t>zaluKz5Llai</t>
  </si>
  <si>
    <t>LBY</t>
  </si>
  <si>
    <t>Liechtenstein</t>
  </si>
  <si>
    <t>gMz0MxjZcEt</t>
  </si>
  <si>
    <t>LIE</t>
  </si>
  <si>
    <t>Lithuania</t>
  </si>
  <si>
    <t>T1irZBQ9gNW</t>
  </si>
  <si>
    <t>LTU</t>
  </si>
  <si>
    <t>Luxembourg</t>
  </si>
  <si>
    <t>mmJUi0PpvGi</t>
  </si>
  <si>
    <t>LUX</t>
  </si>
  <si>
    <t>Madagascar</t>
  </si>
  <si>
    <t>bcy4159FETR</t>
  </si>
  <si>
    <t>MDG</t>
  </si>
  <si>
    <t>Malawi</t>
  </si>
  <si>
    <t>G037PAPU5dO</t>
  </si>
  <si>
    <t>MWI</t>
  </si>
  <si>
    <t>Malaysia</t>
  </si>
  <si>
    <t>BmTVMvJHVBO</t>
  </si>
  <si>
    <t>MYS</t>
  </si>
  <si>
    <t>Maldives</t>
  </si>
  <si>
    <t>FOJUXD6f6lB</t>
  </si>
  <si>
    <t>MDV</t>
  </si>
  <si>
    <t>Mali</t>
  </si>
  <si>
    <t>EubjsxqlA4d</t>
  </si>
  <si>
    <t>MLI</t>
  </si>
  <si>
    <t>Malta</t>
  </si>
  <si>
    <t>TIhakAVsQwM</t>
  </si>
  <si>
    <t>MLT</t>
  </si>
  <si>
    <t>Marshall Islands</t>
  </si>
  <si>
    <t>Ajnw1b8m6eL</t>
  </si>
  <si>
    <t>MHL</t>
  </si>
  <si>
    <t>Martinique</t>
  </si>
  <si>
    <t>v2B5AtYQV8H</t>
  </si>
  <si>
    <t>MTQ</t>
  </si>
  <si>
    <t>Mauritania</t>
  </si>
  <si>
    <t>XYpsN5j30R9</t>
  </si>
  <si>
    <t>MRT</t>
  </si>
  <si>
    <t>Mauritius</t>
  </si>
  <si>
    <t>EB4aSZN0eQr</t>
  </si>
  <si>
    <t>MUS</t>
  </si>
  <si>
    <t>Mayotte</t>
  </si>
  <si>
    <t>Bon3xyAAWKf</t>
  </si>
  <si>
    <t>MYT</t>
  </si>
  <si>
    <t>Mexico</t>
  </si>
  <si>
    <t>KAUSOoBq5Ft</t>
  </si>
  <si>
    <t>MEX</t>
  </si>
  <si>
    <t>Micronesia (Federated States of)</t>
  </si>
  <si>
    <t>lnvESj20mWZ</t>
  </si>
  <si>
    <t>FSM</t>
  </si>
  <si>
    <t>Monaco</t>
  </si>
  <si>
    <t>cZ8823L0fLJ</t>
  </si>
  <si>
    <t>MCO</t>
  </si>
  <si>
    <t>Mongolia</t>
  </si>
  <si>
    <t>IZSm5iPKkDg</t>
  </si>
  <si>
    <t>MNG</t>
  </si>
  <si>
    <t>Montenegro</t>
  </si>
  <si>
    <t>JX7HJfPfbog</t>
  </si>
  <si>
    <t>MNE</t>
  </si>
  <si>
    <t>Montserrat</t>
  </si>
  <si>
    <t>B4iWc3gcDcn</t>
  </si>
  <si>
    <t>MSR</t>
  </si>
  <si>
    <t>Morocco</t>
  </si>
  <si>
    <t>WuQvgvXKamv</t>
  </si>
  <si>
    <t>MAR</t>
  </si>
  <si>
    <t>Mozambique</t>
  </si>
  <si>
    <t>Gan3VYicAWe</t>
  </si>
  <si>
    <t>MOZ</t>
  </si>
  <si>
    <t>Myanmar</t>
  </si>
  <si>
    <t>YOL13ptz4ef</t>
  </si>
  <si>
    <t>MMR</t>
  </si>
  <si>
    <t>Namibia</t>
  </si>
  <si>
    <t>rtLnlu4GUI2</t>
  </si>
  <si>
    <t>NAM</t>
  </si>
  <si>
    <t>Nauru</t>
  </si>
  <si>
    <t>Pz0LCggcqES</t>
  </si>
  <si>
    <t>NRU</t>
  </si>
  <si>
    <t>Nepal</t>
  </si>
  <si>
    <t>pZZriU4sY0l</t>
  </si>
  <si>
    <t>NPL</t>
  </si>
  <si>
    <t>Netherlands</t>
  </si>
  <si>
    <t>rEQqufy2KNi</t>
  </si>
  <si>
    <t>NLD</t>
  </si>
  <si>
    <t>Netherlands Antilles</t>
  </si>
  <si>
    <t>COs48yLdDvg</t>
  </si>
  <si>
    <t>ANT</t>
  </si>
  <si>
    <t>New Caledonia</t>
  </si>
  <si>
    <t>jMGr96nGwHN</t>
  </si>
  <si>
    <t>NCL</t>
  </si>
  <si>
    <t>New Zealand</t>
  </si>
  <si>
    <t>hG1CNbw8wSF</t>
  </si>
  <si>
    <t>NZL</t>
  </si>
  <si>
    <t>Nicaragua</t>
  </si>
  <si>
    <t>wnuoeS9sVZR</t>
  </si>
  <si>
    <t>NIC</t>
  </si>
  <si>
    <t>Niger</t>
  </si>
  <si>
    <t>O0hWoXlHhIS</t>
  </si>
  <si>
    <t>NER</t>
  </si>
  <si>
    <t>Nigeria</t>
  </si>
  <si>
    <t>I3NxIqG7bD4</t>
  </si>
  <si>
    <t>NGA</t>
  </si>
  <si>
    <t>Niue</t>
  </si>
  <si>
    <t>KqaTbKanCG3</t>
  </si>
  <si>
    <t>NIU</t>
  </si>
  <si>
    <t>Norfolk Island</t>
  </si>
  <si>
    <t>O7BGyJhV2Tc</t>
  </si>
  <si>
    <t>NFK</t>
  </si>
  <si>
    <t>North Macedonia</t>
  </si>
  <si>
    <t>cfBaKMnsXd1</t>
  </si>
  <si>
    <t>MKD</t>
  </si>
  <si>
    <t>Northern Mariana Islands</t>
  </si>
  <si>
    <t>vPoFz9J1v6Y</t>
  </si>
  <si>
    <t>MNP</t>
  </si>
  <si>
    <t>Norway</t>
  </si>
  <si>
    <t>oy494aJtjTB</t>
  </si>
  <si>
    <t>NOR</t>
  </si>
  <si>
    <t>Oman</t>
  </si>
  <si>
    <t>G8FCnT37gyb</t>
  </si>
  <si>
    <t>OMN</t>
  </si>
  <si>
    <t>Pakistan</t>
  </si>
  <si>
    <t>yzAMOdV0Pmr</t>
  </si>
  <si>
    <t>PAK</t>
  </si>
  <si>
    <t>Palau</t>
  </si>
  <si>
    <t>iFaKKDtb7nf</t>
  </si>
  <si>
    <t>PLW</t>
  </si>
  <si>
    <t>Panama</t>
  </si>
  <si>
    <t>wUBWZEHJm6Q</t>
  </si>
  <si>
    <t>PAN</t>
  </si>
  <si>
    <t>Papua New Guinea</t>
  </si>
  <si>
    <t>Zav7juzGmEo</t>
  </si>
  <si>
    <t>PNG</t>
  </si>
  <si>
    <t>Paraguay</t>
  </si>
  <si>
    <t>Wpzccx0vjIP</t>
  </si>
  <si>
    <t>PRY</t>
  </si>
  <si>
    <t>Peru</t>
  </si>
  <si>
    <t>vkXlj7ZPkGi</t>
  </si>
  <si>
    <t>PER</t>
  </si>
  <si>
    <t>Philippines</t>
  </si>
  <si>
    <t>QkOClVdLto1</t>
  </si>
  <si>
    <t>PHL</t>
  </si>
  <si>
    <t>Pitcairn</t>
  </si>
  <si>
    <t>fHaKXfcKthe</t>
  </si>
  <si>
    <t>PCN</t>
  </si>
  <si>
    <t>Poland</t>
  </si>
  <si>
    <t>wMTP4GblKr8</t>
  </si>
  <si>
    <t>POL</t>
  </si>
  <si>
    <t>Portugal</t>
  </si>
  <si>
    <t>PevCwH17M73</t>
  </si>
  <si>
    <t>PRT</t>
  </si>
  <si>
    <t>Puerto Rico</t>
  </si>
  <si>
    <t>w3IJVQhc8Rm</t>
  </si>
  <si>
    <t>PRI</t>
  </si>
  <si>
    <t>Qatar</t>
  </si>
  <si>
    <t>jCtFxm8aADJ</t>
  </si>
  <si>
    <t>QAT</t>
  </si>
  <si>
    <t>Republic of Korea</t>
  </si>
  <si>
    <t>IbGbsybdeou</t>
  </si>
  <si>
    <t>KOR</t>
  </si>
  <si>
    <t>Republic of Moldova</t>
  </si>
  <si>
    <t>yBqy4nxuOCA</t>
  </si>
  <si>
    <t>MDA</t>
  </si>
  <si>
    <t>Rodrigues</t>
  </si>
  <si>
    <t>ZRxKEGQmkWI</t>
  </si>
  <si>
    <t>XOD</t>
  </si>
  <si>
    <t>Romania</t>
  </si>
  <si>
    <t>N9i1v07Ro0E</t>
  </si>
  <si>
    <t>ROU</t>
  </si>
  <si>
    <t>Russian Federation</t>
  </si>
  <si>
    <t>i3v8r9XNls2</t>
  </si>
  <si>
    <t>RUS</t>
  </si>
  <si>
    <t>Rwanda</t>
  </si>
  <si>
    <t>UlQiEogy3wG</t>
  </si>
  <si>
    <t>RWA</t>
  </si>
  <si>
    <t>Ryu Kyu Islands</t>
  </si>
  <si>
    <t>LTLHCOHyyWS</t>
  </si>
  <si>
    <t>XX4</t>
  </si>
  <si>
    <t>Réunion</t>
  </si>
  <si>
    <t>VwqhqUCaMgk</t>
  </si>
  <si>
    <t>REU</t>
  </si>
  <si>
    <t>Saint Barthélemy</t>
  </si>
  <si>
    <t>GPyOOoIby8R</t>
  </si>
  <si>
    <t>BLM</t>
  </si>
  <si>
    <t>Saint Helena</t>
  </si>
  <si>
    <t>aZ7Bm5L90rn</t>
  </si>
  <si>
    <t>SHN</t>
  </si>
  <si>
    <t>Saint Kitts and Nevis</t>
  </si>
  <si>
    <t>BlC8wOVHBlb</t>
  </si>
  <si>
    <t>KNA</t>
  </si>
  <si>
    <t>Saint Lucia</t>
  </si>
  <si>
    <t>RyAd6laKg3U</t>
  </si>
  <si>
    <t>LCA</t>
  </si>
  <si>
    <t>Saint Martin (French part)</t>
  </si>
  <si>
    <t>tSBEjAHKj9V</t>
  </si>
  <si>
    <t>MAF</t>
  </si>
  <si>
    <t>Saint Pierre and Miquelon</t>
  </si>
  <si>
    <t>HYEuE8zV74t</t>
  </si>
  <si>
    <t>SPM</t>
  </si>
  <si>
    <t>Saint Vincent and the Grenadines</t>
  </si>
  <si>
    <t>ZgsdoEiTlLq</t>
  </si>
  <si>
    <t>VCT</t>
  </si>
  <si>
    <t>Samoa</t>
  </si>
  <si>
    <t>hpXoMVtJpT3</t>
  </si>
  <si>
    <t>WSM</t>
  </si>
  <si>
    <t>San Marino</t>
  </si>
  <si>
    <t>SAsS1Kwc4iW</t>
  </si>
  <si>
    <t>SMR</t>
  </si>
  <si>
    <t>Sao Tome and Principe</t>
  </si>
  <si>
    <t>FNduj2N3e8s</t>
  </si>
  <si>
    <t>STP</t>
  </si>
  <si>
    <t>Saudi Arabia</t>
  </si>
  <si>
    <t>xB6nQN5Wtpg</t>
  </si>
  <si>
    <t>SAU</t>
  </si>
  <si>
    <t>Senegal</t>
  </si>
  <si>
    <t>wj7iV08dvFq</t>
  </si>
  <si>
    <t>SEN</t>
  </si>
  <si>
    <t>Serbia</t>
  </si>
  <si>
    <t>oroMC4mMzMq</t>
  </si>
  <si>
    <t>SRB</t>
  </si>
  <si>
    <t>Serbia and Montenegro, Former</t>
  </si>
  <si>
    <t>HizhPCC5Ps5</t>
  </si>
  <si>
    <t>SCG</t>
  </si>
  <si>
    <t>Seychelles</t>
  </si>
  <si>
    <t>wimH12ukPK5</t>
  </si>
  <si>
    <t>SYC</t>
  </si>
  <si>
    <t>Sierra Leone</t>
  </si>
  <si>
    <t>qbqrFLCJewu</t>
  </si>
  <si>
    <t>SLE</t>
  </si>
  <si>
    <t>Singapore</t>
  </si>
  <si>
    <t>rb6V38jgfFc</t>
  </si>
  <si>
    <t>SGP</t>
  </si>
  <si>
    <t>Sint Maarten (Dutch part)</t>
  </si>
  <si>
    <t>cCgL3J7Lsgn</t>
  </si>
  <si>
    <t>SXM</t>
  </si>
  <si>
    <t>Slovakia</t>
  </si>
  <si>
    <t>RDiXMdNXg16</t>
  </si>
  <si>
    <t>SVK</t>
  </si>
  <si>
    <t>Slovenia</t>
  </si>
  <si>
    <t>PY4aKgi30fr</t>
  </si>
  <si>
    <t>SVN</t>
  </si>
  <si>
    <t>Solomon Islands</t>
  </si>
  <si>
    <t>FUieyovDec8</t>
  </si>
  <si>
    <t>SLB</t>
  </si>
  <si>
    <t>Somalia</t>
  </si>
  <si>
    <t>oWNF4d3PK8C</t>
  </si>
  <si>
    <t>SOM</t>
  </si>
  <si>
    <t>South Africa</t>
  </si>
  <si>
    <t>lVPoUAKCdmU</t>
  </si>
  <si>
    <t>ZAF</t>
  </si>
  <si>
    <t>South Georgia and the South Sandwich Islands</t>
  </si>
  <si>
    <t>z5ouOuycTPO</t>
  </si>
  <si>
    <t>SGS</t>
  </si>
  <si>
    <t>South Sudan</t>
  </si>
  <si>
    <t>mhWSEv79IJW</t>
  </si>
  <si>
    <t>SSD</t>
  </si>
  <si>
    <t>Spain</t>
  </si>
  <si>
    <t>DVnpk4xiXGJ</t>
  </si>
  <si>
    <t>ESP</t>
  </si>
  <si>
    <t>Sri Lanka</t>
  </si>
  <si>
    <t>er7MPiN3tdH</t>
  </si>
  <si>
    <t>LKA</t>
  </si>
  <si>
    <t>Sudan</t>
  </si>
  <si>
    <t>QqAzWHtJ8VC</t>
  </si>
  <si>
    <t>SDN</t>
  </si>
  <si>
    <t>Sudan (former)</t>
  </si>
  <si>
    <t>IjLnDADGraQ</t>
  </si>
  <si>
    <t>SDF</t>
  </si>
  <si>
    <t>Suriname</t>
  </si>
  <si>
    <t>jkyBvNzcTLl</t>
  </si>
  <si>
    <t>SUR</t>
  </si>
  <si>
    <t>Svalbard and Jan Mayen</t>
  </si>
  <si>
    <t>TWyMjVaaxmT</t>
  </si>
  <si>
    <t>SJM</t>
  </si>
  <si>
    <t>Sweden</t>
  </si>
  <si>
    <t>IFAb1JUZ0Fz</t>
  </si>
  <si>
    <t>SWE</t>
  </si>
  <si>
    <t>Switzerland</t>
  </si>
  <si>
    <t>q2HqXV5OO3z</t>
  </si>
  <si>
    <t>CHE</t>
  </si>
  <si>
    <t>Syrian Arab Republic</t>
  </si>
  <si>
    <t>HDN85xUGB65</t>
  </si>
  <si>
    <t>SYR</t>
  </si>
  <si>
    <t>Tajikistan</t>
  </si>
  <si>
    <t>xb2ezJcUoSR</t>
  </si>
  <si>
    <t>TJK</t>
  </si>
  <si>
    <t>Thailand</t>
  </si>
  <si>
    <t>vboedbUs1As</t>
  </si>
  <si>
    <t>THA</t>
  </si>
  <si>
    <t>The former state union Serbia and Montenegro</t>
  </si>
  <si>
    <t>pGLy2Zj2lVg</t>
  </si>
  <si>
    <t>ME1</t>
  </si>
  <si>
    <t>Timor-Leste</t>
  </si>
  <si>
    <t>cJU4qStc9QT</t>
  </si>
  <si>
    <t>TLS</t>
  </si>
  <si>
    <t>Togo</t>
  </si>
  <si>
    <t>WtcZBCTspgM</t>
  </si>
  <si>
    <t>TGO</t>
  </si>
  <si>
    <t>Tokelau</t>
  </si>
  <si>
    <t>VMqDEughMuP</t>
  </si>
  <si>
    <t>TKL</t>
  </si>
  <si>
    <t>Tonga</t>
  </si>
  <si>
    <t>zYQqFxQw5jj</t>
  </si>
  <si>
    <t>TON</t>
  </si>
  <si>
    <t>Trinidad and Tobago</t>
  </si>
  <si>
    <t>fYeClLy8K2x</t>
  </si>
  <si>
    <t>TTO</t>
  </si>
  <si>
    <t>Tunisia</t>
  </si>
  <si>
    <t>pMukkUmnnkh</t>
  </si>
  <si>
    <t>TUN</t>
  </si>
  <si>
    <t>Turkey</t>
  </si>
  <si>
    <t>eVEK7djdWqV</t>
  </si>
  <si>
    <t>TUR</t>
  </si>
  <si>
    <t>Turkmenistan</t>
  </si>
  <si>
    <t>HwqfuL9pQz5</t>
  </si>
  <si>
    <t>TKM</t>
  </si>
  <si>
    <t>Turks and Caicos Islands</t>
  </si>
  <si>
    <t>vg4b11FL2Gl</t>
  </si>
  <si>
    <t>TCA</t>
  </si>
  <si>
    <t>Tuvalu</t>
  </si>
  <si>
    <t>GrU8zQv510v</t>
  </si>
  <si>
    <t>TUV</t>
  </si>
  <si>
    <t>US Virgin Islands</t>
  </si>
  <si>
    <t>M9HrCkIwaKy</t>
  </si>
  <si>
    <t>VIR</t>
  </si>
  <si>
    <t>USSR, Former</t>
  </si>
  <si>
    <t>wFkq5oB0dFS</t>
  </si>
  <si>
    <t>XX9</t>
  </si>
  <si>
    <t>Uganda</t>
  </si>
  <si>
    <t>SnYHrnchKjL</t>
  </si>
  <si>
    <t>UGA</t>
  </si>
  <si>
    <t>Ukraine</t>
  </si>
  <si>
    <t>VJrTuNXAg9G</t>
  </si>
  <si>
    <t>UKR</t>
  </si>
  <si>
    <t>United Arab Emirates</t>
  </si>
  <si>
    <t>aNIrqpwcKXv</t>
  </si>
  <si>
    <t>ARE</t>
  </si>
  <si>
    <t>United Kingdom of Great Britain and Northern Irela</t>
  </si>
  <si>
    <t>Gnz4lqrVEMf</t>
  </si>
  <si>
    <t>GBR</t>
  </si>
  <si>
    <t>United Kingdom, England and Wales</t>
  </si>
  <si>
    <t>TpDwlm2Spev</t>
  </si>
  <si>
    <t>X10</t>
  </si>
  <si>
    <t>United Kingdom, Northern Ireland</t>
  </si>
  <si>
    <t>Q8De2VxoKXS</t>
  </si>
  <si>
    <t>X11</t>
  </si>
  <si>
    <t>United Kingdom, Scotland</t>
  </si>
  <si>
    <t>Gvox4WmLiYC</t>
  </si>
  <si>
    <t>X12</t>
  </si>
  <si>
    <t>United Republic of Tanzania</t>
  </si>
  <si>
    <t>S52uSY3lb8V</t>
  </si>
  <si>
    <t>TZA</t>
  </si>
  <si>
    <t>United States Minor Outlying Islands</t>
  </si>
  <si>
    <t>KOUhvjWIy6V</t>
  </si>
  <si>
    <t>UMI</t>
  </si>
  <si>
    <t>United States of America</t>
  </si>
  <si>
    <t>AYWCbVecRKQ</t>
  </si>
  <si>
    <t>USA</t>
  </si>
  <si>
    <t>Uruguay</t>
  </si>
  <si>
    <t>PJS910L8KtX</t>
  </si>
  <si>
    <t>URY</t>
  </si>
  <si>
    <t>Uzbekistan</t>
  </si>
  <si>
    <t>kpFgAwwSjCZ</t>
  </si>
  <si>
    <t>UZB</t>
  </si>
  <si>
    <t>Vanuatu</t>
  </si>
  <si>
    <t>xqjIL1cGrl1</t>
  </si>
  <si>
    <t>VUT</t>
  </si>
  <si>
    <t>Venezuela (Bolivarian Republic of)</t>
  </si>
  <si>
    <t>fkrzFaeuYDn</t>
  </si>
  <si>
    <t>VEN</t>
  </si>
  <si>
    <t>Viet Nam</t>
  </si>
  <si>
    <t>av3fkpFxEXj</t>
  </si>
  <si>
    <t>VNM</t>
  </si>
  <si>
    <t>Wallis and Futuna</t>
  </si>
  <si>
    <t>eVp1pvRfPKS</t>
  </si>
  <si>
    <t>WLF</t>
  </si>
  <si>
    <t>West Bank</t>
  </si>
  <si>
    <t>KrU8C1YTdao</t>
  </si>
  <si>
    <t>PSE002</t>
  </si>
  <si>
    <t>West Bank and Gaza Strip</t>
  </si>
  <si>
    <t>juBxu3AprlM</t>
  </si>
  <si>
    <t>PSE</t>
  </si>
  <si>
    <t>Western Sahara</t>
  </si>
  <si>
    <t>PvrMV4NjbtR</t>
  </si>
  <si>
    <t>ESH</t>
  </si>
  <si>
    <t>Yemen</t>
  </si>
  <si>
    <t>HX7fBSMCCbL</t>
  </si>
  <si>
    <t>YEM</t>
  </si>
  <si>
    <t>Yugoslavia, Former</t>
  </si>
  <si>
    <t>fIlPGTXBCUm</t>
  </si>
  <si>
    <t>X13</t>
  </si>
  <si>
    <t>Zambia</t>
  </si>
  <si>
    <t>gb7vWtO7Wjp</t>
  </si>
  <si>
    <t>ZMB</t>
  </si>
  <si>
    <t>Zimbabwe</t>
  </si>
  <si>
    <t>buSEeeViTo3</t>
  </si>
  <si>
    <t>ZWE</t>
  </si>
  <si>
    <t>Åland Islands</t>
  </si>
  <si>
    <t>Adzexk8xbzD</t>
  </si>
  <si>
    <t>ALA</t>
  </si>
  <si>
    <t>&lt; 25 yrs</t>
  </si>
  <si>
    <t>≥ 65 yrs</t>
  </si>
  <si>
    <t>Country of training for foreign trained staff</t>
  </si>
  <si>
    <t>Country</t>
  </si>
  <si>
    <t>Nurses</t>
  </si>
  <si>
    <t>Midwives</t>
  </si>
  <si>
    <t>Belarus</t>
  </si>
  <si>
    <t>Belize</t>
  </si>
  <si>
    <t>Djibouti</t>
  </si>
  <si>
    <t>Dominica</t>
  </si>
  <si>
    <t>Dominican Republic</t>
  </si>
  <si>
    <t>Ecuador</t>
  </si>
  <si>
    <t>Egypt</t>
  </si>
  <si>
    <t>Türkiye</t>
  </si>
  <si>
    <t>United Kingdom</t>
  </si>
  <si>
    <t>Other country (ies)</t>
  </si>
  <si>
    <t>Facility ownership and facility type</t>
  </si>
  <si>
    <t>Ownership</t>
  </si>
  <si>
    <t>Working Facility Type</t>
  </si>
  <si>
    <t>Public</t>
  </si>
  <si>
    <t>Private not for profit</t>
  </si>
  <si>
    <t>Private for profit</t>
  </si>
  <si>
    <t>Hospitals</t>
  </si>
  <si>
    <t>Residential long-term care facilities</t>
  </si>
  <si>
    <t>Providers of ambulatory health care</t>
  </si>
  <si>
    <t>Ancillary services</t>
  </si>
  <si>
    <t>Retailers</t>
  </si>
  <si>
    <t>Providers of preventive care</t>
  </si>
  <si>
    <t>Inflows &amp; Outflows</t>
  </si>
  <si>
    <t>Newly active Health Workers</t>
  </si>
  <si>
    <t>Newly active domestic trained HWF</t>
  </si>
  <si>
    <t>Newly active foreign trained employed</t>
  </si>
  <si>
    <t>Number of exits</t>
  </si>
  <si>
    <t>Voluntary exits</t>
  </si>
  <si>
    <t>Involuntary exits</t>
  </si>
  <si>
    <t>Vacancy rate</t>
  </si>
  <si>
    <t>Vacant posts</t>
  </si>
  <si>
    <t>Total posts</t>
  </si>
  <si>
    <t xml:space="preserve">    General Medical Practitioners</t>
  </si>
  <si>
    <t>Dentist</t>
  </si>
  <si>
    <t>Pharmacist</t>
  </si>
  <si>
    <t>Source Type</t>
  </si>
  <si>
    <t>pSRNRBuOBi8</t>
  </si>
  <si>
    <t>Ministry of Health</t>
  </si>
  <si>
    <t>idY7moseTTD</t>
  </si>
  <si>
    <t>RfqYbGs8Za9</t>
  </si>
  <si>
    <t>nS0ZJGJUX0u</t>
  </si>
  <si>
    <t>bSvvw3Ms4BE</t>
  </si>
  <si>
    <t>h3kClMEpMAy</t>
  </si>
  <si>
    <t>e3ba55rLVTZ</t>
  </si>
  <si>
    <t>KAU5IPKoIgx</t>
  </si>
  <si>
    <t>bYXQMVmauLD</t>
  </si>
  <si>
    <t>MFUxfSaYW2e</t>
  </si>
  <si>
    <t>dutH7uvTAut</t>
  </si>
  <si>
    <t>vtidz1k9BOw</t>
  </si>
  <si>
    <t>ud6YiQ9ekgi</t>
  </si>
  <si>
    <t>P5RXZZXrLGM</t>
  </si>
  <si>
    <t>ON8DBreBXlt</t>
  </si>
  <si>
    <t>SRSiY1qW6W8</t>
  </si>
  <si>
    <t>M1hZV0c1jpw</t>
  </si>
  <si>
    <t>Va9QjeOhGZa</t>
  </si>
  <si>
    <t>E6yC5xp14iQ</t>
  </si>
  <si>
    <t>zmJu31AVVts</t>
  </si>
  <si>
    <t>HmC6k52OuR4</t>
  </si>
  <si>
    <t>eP4EDcfclsH</t>
  </si>
  <si>
    <t>cnxVb8H17tm</t>
  </si>
  <si>
    <t>mnfnutsHsxh</t>
  </si>
  <si>
    <t>hiSNbC7WWAb</t>
  </si>
  <si>
    <t>PXZbVlkKwcw</t>
  </si>
  <si>
    <t>TcSxFdjVWEh</t>
  </si>
  <si>
    <t>ZtjIuqdv5S7</t>
  </si>
  <si>
    <t>BgJoMJEnaO1</t>
  </si>
  <si>
    <t>LO5oNfvohPx</t>
  </si>
  <si>
    <t>uQe1J0rpnwS</t>
  </si>
  <si>
    <t>XIHIwocWj9J</t>
  </si>
  <si>
    <t>RK9mngtJtTL</t>
  </si>
  <si>
    <t>D2MFGJKtc1Y</t>
  </si>
  <si>
    <t>m4eOcU1zHtL</t>
  </si>
  <si>
    <t>VZnZ8xJoaIW</t>
  </si>
  <si>
    <t>rsmgY2HkHEf</t>
  </si>
  <si>
    <t>A8qvwcGQ7oR</t>
  </si>
  <si>
    <t>HLgQXol1EPh</t>
  </si>
  <si>
    <t>tWmFeJagj87</t>
  </si>
  <si>
    <t>EojH3xtSttx</t>
  </si>
  <si>
    <t>HeI3osYsbQa</t>
  </si>
  <si>
    <t>cxmJyqa1T5C</t>
  </si>
  <si>
    <t>eA4qiSbPKdb</t>
  </si>
  <si>
    <t>Ngzlv0PnZHM</t>
  </si>
  <si>
    <t>jxUmQ1pAqyo</t>
  </si>
  <si>
    <t>Gi4BzUhTjYb</t>
  </si>
  <si>
    <t>cs7H0NFWgV1</t>
  </si>
  <si>
    <t>Ls5uiJRlx9L</t>
  </si>
  <si>
    <t>hTbGyO8zzbu</t>
  </si>
  <si>
    <t>zVBLVa1TCTI</t>
  </si>
  <si>
    <t>Contract Type</t>
  </si>
  <si>
    <t>Full-time contract</t>
  </si>
  <si>
    <t>Part-time contract</t>
  </si>
  <si>
    <t>Organisation Units</t>
  </si>
  <si>
    <t>Periods</t>
  </si>
  <si>
    <t>Options</t>
  </si>
  <si>
    <t>Boolean</t>
  </si>
  <si>
    <t>True only</t>
  </si>
  <si>
    <t>Identifier</t>
  </si>
  <si>
    <t>Type</t>
  </si>
  <si>
    <t>Value Type</t>
  </si>
  <si>
    <t>Option Set</t>
  </si>
  <si>
    <t>Possible Values</t>
  </si>
  <si>
    <t>cDnBDmJhson</t>
  </si>
  <si>
    <t>dataElements</t>
  </si>
  <si>
    <t>Other Specialists Practitioners Stock HF owner</t>
  </si>
  <si>
    <t>INTEGER_ZERO_OR_POSITIVE</t>
  </si>
  <si>
    <t>zWqYNMlrEgt</t>
  </si>
  <si>
    <t>Medical Laboratory Technicians  Stock By Level</t>
  </si>
  <si>
    <t>tkCXuIKxKvK</t>
  </si>
  <si>
    <t>Audiologists and Speech Therapists Stock By Age</t>
  </si>
  <si>
    <t>rjQiZlCjHp6</t>
  </si>
  <si>
    <t>Specialist Medical Practitioners Stock By Level</t>
  </si>
  <si>
    <t>oNyG3X3DPbz</t>
  </si>
  <si>
    <t>Nursing Professionals Stock birth loc.</t>
  </si>
  <si>
    <t>C7jmannlc7B</t>
  </si>
  <si>
    <t>Community Health Workers Stock birth loc.</t>
  </si>
  <si>
    <t>Medical Imaging Technicians composition source typ</t>
  </si>
  <si>
    <t>TRUE_ONLY</t>
  </si>
  <si>
    <t>e0qvyzapmu3</t>
  </si>
  <si>
    <t>Other Specialists Practitioners Stock traing loc.</t>
  </si>
  <si>
    <t>Qf4UX9h7VHw</t>
  </si>
  <si>
    <t>Imaging Technicians Stock By Sex</t>
  </si>
  <si>
    <t>lguPmuZBWDk</t>
  </si>
  <si>
    <t>Midwifery Professionals Stock HF type</t>
  </si>
  <si>
    <t>Engineering staff composition source type</t>
  </si>
  <si>
    <t>eEQkLvHHoSU</t>
  </si>
  <si>
    <t>Nursing Associate Professionals Stock Total</t>
  </si>
  <si>
    <t>H68Cr5CXfUE</t>
  </si>
  <si>
    <t>Medical Records and HIS Techs. Stock By Sex</t>
  </si>
  <si>
    <t>DC17owNKnOo</t>
  </si>
  <si>
    <t>Medical secretaries stock By Sex</t>
  </si>
  <si>
    <t>Medical Prosthetic Technicians composition source</t>
  </si>
  <si>
    <t>h6VJJu0W8U7</t>
  </si>
  <si>
    <t>Medical Doctors Stock Total</t>
  </si>
  <si>
    <t>LrG8CqG0mhV</t>
  </si>
  <si>
    <t>Nursing Professionals Stock Total</t>
  </si>
  <si>
    <t>pWXXIlhZ8PI</t>
  </si>
  <si>
    <t>Other Specialists Practitioners Stock Total</t>
  </si>
  <si>
    <t>vCaW1uucv0A</t>
  </si>
  <si>
    <t>Optometrists and Ophthalmic optis. Stock By Sex</t>
  </si>
  <si>
    <t>Nutritionists composition source type</t>
  </si>
  <si>
    <t>DqZNrSSZ2S0</t>
  </si>
  <si>
    <t>Medical Assistants Stock HF owner</t>
  </si>
  <si>
    <t>sW496bvfky8</t>
  </si>
  <si>
    <t>Audiologists and Speech Therapists Stock By Sex</t>
  </si>
  <si>
    <t>wp6tV9if1us</t>
  </si>
  <si>
    <t>Ambulance Workers Stock birth loc.</t>
  </si>
  <si>
    <t>ja0fxo22OTu</t>
  </si>
  <si>
    <t>Nursing Professionals midwifery training HF type</t>
  </si>
  <si>
    <t>l91qM3cJTek</t>
  </si>
  <si>
    <t>Working personnel in all sectors</t>
  </si>
  <si>
    <t>TTQ6WgBHZUZ</t>
  </si>
  <si>
    <t>Medical Prosthetic Technicians Stock By Level</t>
  </si>
  <si>
    <t>ejrzC4bEJ5R</t>
  </si>
  <si>
    <t>Nursing Professionals Stock By Sex</t>
  </si>
  <si>
    <t>v2CCdaKGum8</t>
  </si>
  <si>
    <t>Medical Doctors Stock By Age</t>
  </si>
  <si>
    <t>JXZp3qBlqKP</t>
  </si>
  <si>
    <t>Dental Prosthetic Technicians Stock By Sex</t>
  </si>
  <si>
    <t>dxbj7q8MNNf</t>
  </si>
  <si>
    <t>Specialist Medical Practitioners Stock By Sex</t>
  </si>
  <si>
    <t>wichhHKwKBi</t>
  </si>
  <si>
    <t>Traditional Medicine Professionals Stock By Sex</t>
  </si>
  <si>
    <t>CUmZXLC1FrK</t>
  </si>
  <si>
    <t>Dentists Stock HF type</t>
  </si>
  <si>
    <t>SOU2X25z1dq</t>
  </si>
  <si>
    <t>Pharmaceutical Technicians &amp; Ass. Stock Total</t>
  </si>
  <si>
    <t>w9b8i3HljgB</t>
  </si>
  <si>
    <t>Dental Prosthetic Technicians Stock Total</t>
  </si>
  <si>
    <t>cfTgv8GDYXQ</t>
  </si>
  <si>
    <t>Nursing Professionals midwifery training By Age</t>
  </si>
  <si>
    <t>CnreQmZbCwP</t>
  </si>
  <si>
    <t>Dental Assistants and Therapists Stock traing loc.</t>
  </si>
  <si>
    <t>KHgbn4zfgrB</t>
  </si>
  <si>
    <t>Health Care Assistants Stock traing loc.</t>
  </si>
  <si>
    <t>GFfMM55sVzg</t>
  </si>
  <si>
    <t>Medical Doctors Stock By Sex</t>
  </si>
  <si>
    <t>Qy71EkOy7om</t>
  </si>
  <si>
    <t>Medical Records and HIS Techs. Stock birth loc.</t>
  </si>
  <si>
    <t>sFlo2nMKUjV</t>
  </si>
  <si>
    <t>Other non-medical support staff Stock By Sex</t>
  </si>
  <si>
    <t>VIWOOPfPUnX</t>
  </si>
  <si>
    <t>Nurses not further defined Stock By Sex</t>
  </si>
  <si>
    <t>Environmental Professionals composition source typ</t>
  </si>
  <si>
    <t>PUaHSbd6T5T</t>
  </si>
  <si>
    <t>Paramedical Practitioners Stock HF owner</t>
  </si>
  <si>
    <t>Yz371d8I7vi</t>
  </si>
  <si>
    <t>Paramedical Practitioners Stock Total</t>
  </si>
  <si>
    <t>OFsiDpAC34b</t>
  </si>
  <si>
    <t>Pharmacists Stock HF owner</t>
  </si>
  <si>
    <t>Social work composition source type</t>
  </si>
  <si>
    <t>goxjwhLBh98</t>
  </si>
  <si>
    <t>Nutritionists Stock By Sex</t>
  </si>
  <si>
    <t>u4evyxHktVP</t>
  </si>
  <si>
    <t>Health Inf systems personnel Stock Total</t>
  </si>
  <si>
    <t>Medical Assistants composition source type</t>
  </si>
  <si>
    <t>dvNINMJZS3V</t>
  </si>
  <si>
    <t>Medical Assistants Stock Total</t>
  </si>
  <si>
    <t>TTWJ58v2frD</t>
  </si>
  <si>
    <t>Social work professionals Stock By Age</t>
  </si>
  <si>
    <t>WAA3Uun62pk</t>
  </si>
  <si>
    <t>Ambulance Workers Stock HF owner</t>
  </si>
  <si>
    <t>qiy19S7ih95</t>
  </si>
  <si>
    <t>Medical Records and HIS Techs. Stock By Level</t>
  </si>
  <si>
    <t>MdkO4mttohH</t>
  </si>
  <si>
    <t>Medical Doctors Stock By Activity Level</t>
  </si>
  <si>
    <t>iGP92WgNuVf</t>
  </si>
  <si>
    <t>Administrative staff Stock By Age</t>
  </si>
  <si>
    <t>KHL0TSASQzg</t>
  </si>
  <si>
    <t>Biomedical engineer Stock By Sex</t>
  </si>
  <si>
    <t>nBLlavpOdkF</t>
  </si>
  <si>
    <t>Midwifery Professionals Stock Total</t>
  </si>
  <si>
    <t>ITHN93Jce9l</t>
  </si>
  <si>
    <t>Traditional Assoc Professionals Stock traing loc.</t>
  </si>
  <si>
    <t>dFWlhArOcXj</t>
  </si>
  <si>
    <t>GM Practitioners Stock By Activity Level</t>
  </si>
  <si>
    <t>a5ii3ZTvZJl</t>
  </si>
  <si>
    <t>Psychiatrists Practitioners Stock birth loc.</t>
  </si>
  <si>
    <t>MRM0ZIZFfVP</t>
  </si>
  <si>
    <t>Social work professionals Stock birth loc.</t>
  </si>
  <si>
    <t>vZfb8jHv6hE</t>
  </si>
  <si>
    <t>Medical Specialists Practitioners Stock HF type</t>
  </si>
  <si>
    <t>mNiSSk0Sfgz</t>
  </si>
  <si>
    <t>Home-based Personal Care Workers Stock traing loc.</t>
  </si>
  <si>
    <t>e32KJz6JDNr</t>
  </si>
  <si>
    <t>Community Health Workers Stock By Sex</t>
  </si>
  <si>
    <t>nWqgnOkihzf</t>
  </si>
  <si>
    <t>Medical Prosthetic Technicians Stock HF owner</t>
  </si>
  <si>
    <t>rvsb7MLMUbV</t>
  </si>
  <si>
    <t>Other Specialists Practitioners Stock By Level</t>
  </si>
  <si>
    <t>XOuEbu7a0Fn</t>
  </si>
  <si>
    <t>Dental Prosthetic Technicians Stock birth loc.</t>
  </si>
  <si>
    <t>O9FGiWCttH4</t>
  </si>
  <si>
    <t>Midwifery Associate Professionals Stock HF owner</t>
  </si>
  <si>
    <t>PRFVamHB0VQ</t>
  </si>
  <si>
    <t>Midwives not further defined Stock By Age</t>
  </si>
  <si>
    <t>u3t1gIXW3Bh</t>
  </si>
  <si>
    <t>Medical Laboratory Technicians  Stock HF type</t>
  </si>
  <si>
    <t>Nb8Gg5ZiX5c</t>
  </si>
  <si>
    <t>Imaging Technicians Stock By Age</t>
  </si>
  <si>
    <t>ahER1ix3fxr</t>
  </si>
  <si>
    <t>Medical Assistants Stock HF type</t>
  </si>
  <si>
    <t>OAaXg7NvGcx</t>
  </si>
  <si>
    <t>Personal care workers  Stock By Level</t>
  </si>
  <si>
    <t>MDNFD composition and distribution source type</t>
  </si>
  <si>
    <t>xY8dqpdkFDy</t>
  </si>
  <si>
    <t>Traditional Medicine Professionals Stock By Level</t>
  </si>
  <si>
    <t>aBKbsKeMhM6</t>
  </si>
  <si>
    <t>Dentists Stock By Level</t>
  </si>
  <si>
    <t>mM3VtbRdurN</t>
  </si>
  <si>
    <t>Dental Assistants and Therapists Stock By Level</t>
  </si>
  <si>
    <t>Health information systems personnel composition s</t>
  </si>
  <si>
    <t>Community Health Workers composition source type</t>
  </si>
  <si>
    <t>Personal care workers composition source type</t>
  </si>
  <si>
    <t>sYJkQfzW1BG</t>
  </si>
  <si>
    <t>Nursing Personnel Stock Total</t>
  </si>
  <si>
    <t>gXsLaaEjWb4</t>
  </si>
  <si>
    <t>Env and Occup Health Professionals Stock By Age</t>
  </si>
  <si>
    <t>Personal care workers  composition source type</t>
  </si>
  <si>
    <t>n7GyaiCn7uH</t>
  </si>
  <si>
    <t>Other non-medical support staff Stock birth loc.</t>
  </si>
  <si>
    <t>cROoQk16jlH</t>
  </si>
  <si>
    <t>Nursing Professionals Stock HF type</t>
  </si>
  <si>
    <t>pOUpImrRlyS</t>
  </si>
  <si>
    <t>Home-based Personal Care Workers Stock By Level</t>
  </si>
  <si>
    <t>HdK1N3rPeZ1</t>
  </si>
  <si>
    <t>Obstetricians and Gynaecologists Stock traing loc.</t>
  </si>
  <si>
    <t>P7NeDYkZMDT</t>
  </si>
  <si>
    <t>Medical Doctors Stock traing loc.</t>
  </si>
  <si>
    <t>BrtoXLjA4pi</t>
  </si>
  <si>
    <t>Nursing Professionals Stock By Age</t>
  </si>
  <si>
    <t>W4IjHlh3nqi</t>
  </si>
  <si>
    <t>Medical Laboratory scientists Stock By Sex</t>
  </si>
  <si>
    <t>hTgpqkx2MAb</t>
  </si>
  <si>
    <t>Physiotherapists Stock birth loc.</t>
  </si>
  <si>
    <t>CPmuUXWouRA</t>
  </si>
  <si>
    <t>Traditional Medicine Professionals Stock HF owner</t>
  </si>
  <si>
    <t>Psychiatrists Practitioners composition source typ</t>
  </si>
  <si>
    <t>qfVp6vFGOpZ</t>
  </si>
  <si>
    <t>Nursing Personnel Stock traing loc.</t>
  </si>
  <si>
    <t>UTEeOMyhBoY</t>
  </si>
  <si>
    <t>Midwifery Assoc Professionals Stock traing loc.</t>
  </si>
  <si>
    <t>h7A8N2QpOkV</t>
  </si>
  <si>
    <t>Traditional Medicine Professionals Stock By Age</t>
  </si>
  <si>
    <t>ez5XnYzGvay</t>
  </si>
  <si>
    <t>Personal workers in health n.e.c Stock birth loc.</t>
  </si>
  <si>
    <t>FA3nDd4psmk</t>
  </si>
  <si>
    <t>Health Care Assistants Stock By Sex</t>
  </si>
  <si>
    <t>NI4NAaV0hSh</t>
  </si>
  <si>
    <t>Health Inf systems personnel Stock By Sex</t>
  </si>
  <si>
    <t>yKNKfokBA9x</t>
  </si>
  <si>
    <t>Medical Prosthetic Technicians Stock Total</t>
  </si>
  <si>
    <t>H9tYjJ0nzgU</t>
  </si>
  <si>
    <t>Traditional Assoc Professionals Stock birth loc.</t>
  </si>
  <si>
    <t>GuIr410uu6E</t>
  </si>
  <si>
    <t>Nursing  Personnel Stock HF type</t>
  </si>
  <si>
    <t>vTu1WOspiNq</t>
  </si>
  <si>
    <t>Social work professionals Stock By Level</t>
  </si>
  <si>
    <t>rsGK1D0Xkfj</t>
  </si>
  <si>
    <t>Psychologists Stock birth loc.</t>
  </si>
  <si>
    <t>Zu69ozCInhL</t>
  </si>
  <si>
    <t>Optometrists and Ophthalmic optis. Stock HF owner</t>
  </si>
  <si>
    <t>JQL0onXq6ge</t>
  </si>
  <si>
    <t>Health Care Assistants Stock By Level</t>
  </si>
  <si>
    <t>Lsnc4RViH9F</t>
  </si>
  <si>
    <t>Social work ass. professionals Stock By Age</t>
  </si>
  <si>
    <t>Medical Technicians  composition source type</t>
  </si>
  <si>
    <t>yWUBDj8Vyha</t>
  </si>
  <si>
    <t>Nutritionists Stock By Age</t>
  </si>
  <si>
    <t>LX2QltISk5s</t>
  </si>
  <si>
    <t>Other non-medical support staff Stock By Level</t>
  </si>
  <si>
    <t>WXgZfcbtl5R</t>
  </si>
  <si>
    <t>Env and Occup Health Professionals Stock By Sex</t>
  </si>
  <si>
    <t>Y0Al3lbaiSd</t>
  </si>
  <si>
    <t>Optometrists and Ophthalmic optis. Stock By Level</t>
  </si>
  <si>
    <t>GYmXWDOK6w7</t>
  </si>
  <si>
    <t>Psychiatrists Practitioners Stock HF type</t>
  </si>
  <si>
    <t>cTz9crtzdvU</t>
  </si>
  <si>
    <t>Specialist Medical Practitioners Stock traing loc.</t>
  </si>
  <si>
    <t>TE5sao73qRm</t>
  </si>
  <si>
    <t>Medical Laboratory Technicians  Stock By Sex</t>
  </si>
  <si>
    <t>MXXzDDuba8n</t>
  </si>
  <si>
    <t>Administrative staff Stock birth loc.</t>
  </si>
  <si>
    <t>G34jrX7TcVv</t>
  </si>
  <si>
    <t>Personal workers in health n.e.c Stock HF type</t>
  </si>
  <si>
    <t>pl4ewykGEd1</t>
  </si>
  <si>
    <t>Other non-medical proff. staff Stock birth loc.</t>
  </si>
  <si>
    <t>HhQgAcNaKUv</t>
  </si>
  <si>
    <t>Medical secretaries stock source type</t>
  </si>
  <si>
    <t>kkOw6gPK2OK</t>
  </si>
  <si>
    <t>Dental Assistants and Therapists Stock birth loc.</t>
  </si>
  <si>
    <t>nlUAhvWIgOU</t>
  </si>
  <si>
    <t>Ambulance Workers Stock traing loc.</t>
  </si>
  <si>
    <t>Other non-medical support staff composition source</t>
  </si>
  <si>
    <t>Di6q414Mk6h</t>
  </si>
  <si>
    <t>Nursing Prof. midwifery training source type</t>
  </si>
  <si>
    <t>qScWuUGR5yF</t>
  </si>
  <si>
    <t>Medical doctors not further defined Stock HF owner</t>
  </si>
  <si>
    <t>XVRPTXuJBQe</t>
  </si>
  <si>
    <t>Medical secretaries stock birth loc.</t>
  </si>
  <si>
    <t>Xw3tkU97nlR</t>
  </si>
  <si>
    <t>Midwifery personnel Stock traing loc.</t>
  </si>
  <si>
    <t>mx3f7jzRUn6</t>
  </si>
  <si>
    <t>Pharmacists Stock By Level</t>
  </si>
  <si>
    <t>uzy03WEvMkk</t>
  </si>
  <si>
    <t>Social work professionals Stock Total</t>
  </si>
  <si>
    <t>rr5X0uhJKl5</t>
  </si>
  <si>
    <t>Psychologists Stock HF owner</t>
  </si>
  <si>
    <t>i54ywgixjhp</t>
  </si>
  <si>
    <t>Midwifery Professionals Stock HF owner</t>
  </si>
  <si>
    <t>d3IcPgQbeH5</t>
  </si>
  <si>
    <t>Nurses not further defined Stock birth loc.</t>
  </si>
  <si>
    <t>XyCaF8fUivl</t>
  </si>
  <si>
    <t>Managerial staff Stock HF type</t>
  </si>
  <si>
    <t>PhGYsKg6Z64</t>
  </si>
  <si>
    <t>Nursing Professionals midwifery training By Level</t>
  </si>
  <si>
    <t>Lkjp0MFLDov</t>
  </si>
  <si>
    <t>HWF Module 1 File upload</t>
  </si>
  <si>
    <t>FILE_RESOURCE</t>
  </si>
  <si>
    <t>ChqxKtGrHVA</t>
  </si>
  <si>
    <t>Midwives not further defined Stock traing loc.</t>
  </si>
  <si>
    <t>oDP0YtPBOVQ</t>
  </si>
  <si>
    <t>Medical Specialists Practitioners Stock traing loc</t>
  </si>
  <si>
    <t>wXKdiD7gHdx</t>
  </si>
  <si>
    <t>Biomedical engineer Stock By Age</t>
  </si>
  <si>
    <t>WVEV44P6jtl</t>
  </si>
  <si>
    <t>Traditional Assoc Professionals Stock By Sex</t>
  </si>
  <si>
    <t>ViLbVtzGWM5</t>
  </si>
  <si>
    <t>Optometrists and Ophthalmic optis. Stock HF type</t>
  </si>
  <si>
    <t>QPtnjdoIqnH</t>
  </si>
  <si>
    <t>Medical Specialists Practitioners Stock By Age</t>
  </si>
  <si>
    <t>EEZGLQRHQDr</t>
  </si>
  <si>
    <t>Home-based Personal Care Workers Stock HF owner</t>
  </si>
  <si>
    <t>H9hyUA3QPdl</t>
  </si>
  <si>
    <t>Health Inf systems personnel Stock birth loc.</t>
  </si>
  <si>
    <t>ptLuUHEellT</t>
  </si>
  <si>
    <t>Dieticians  Stock By Sex</t>
  </si>
  <si>
    <t>kNKgbh9K2Ni</t>
  </si>
  <si>
    <t>Dental Prosthetic Technicians Stock traing loc.</t>
  </si>
  <si>
    <t>Lir6kztSRZ7</t>
  </si>
  <si>
    <t>Community Health Workers Stock By Level</t>
  </si>
  <si>
    <t>lZa8WGsBpZt</t>
  </si>
  <si>
    <t>Pharmaceutical Technicians &amp; Ass. Stock By Age</t>
  </si>
  <si>
    <t>aurZ2kUa2St</t>
  </si>
  <si>
    <t>Gen Paediatricians Practitioners Stock traing loc.</t>
  </si>
  <si>
    <t>zGNcDLRXn25</t>
  </si>
  <si>
    <t>Dentists Stock traing loc.</t>
  </si>
  <si>
    <t>zgEzHh22TAi</t>
  </si>
  <si>
    <t>Pharmaceutical Technicians &amp; Ass. Stock HF type</t>
  </si>
  <si>
    <t>JPklATr7DCt</t>
  </si>
  <si>
    <t>Medical Laboratory scientists Stock birth loc.</t>
  </si>
  <si>
    <t>LJ8KCWU8OOV</t>
  </si>
  <si>
    <t>Surgical Specs. Practitioners Stock traing loc.</t>
  </si>
  <si>
    <t>cyNh11xykuJ</t>
  </si>
  <si>
    <t>Obstetricians and Gynaecologists Stock Total</t>
  </si>
  <si>
    <t>Dental Assistants and Therapists composition sourc</t>
  </si>
  <si>
    <t>GXDCQoGj6T3</t>
  </si>
  <si>
    <t>Nursing Professionals midwifery training HF owner</t>
  </si>
  <si>
    <t>CVhecwG7dZH</t>
  </si>
  <si>
    <t>Health Care Assistants Stock By Age</t>
  </si>
  <si>
    <t>LaQe20TdHvH</t>
  </si>
  <si>
    <t>Audiologists and Speech Therapists Stock By Level</t>
  </si>
  <si>
    <t>CpUti69L5aW</t>
  </si>
  <si>
    <t>Nurses not further defined Stock Total</t>
  </si>
  <si>
    <t>FAoaZdPdq90</t>
  </si>
  <si>
    <t>Biomedical engineer Stock traing loc.</t>
  </si>
  <si>
    <t>xz2VQl9nOPd</t>
  </si>
  <si>
    <t>Pharmaceutical Techs &amp; Ass. Stock traing loc.</t>
  </si>
  <si>
    <t>hYvVhwa2Frr</t>
  </si>
  <si>
    <t>Env and Occup Health Inspectors Stock HF owner</t>
  </si>
  <si>
    <t>v6OkaCDmX5Y</t>
  </si>
  <si>
    <t>Psychiatrists Practitioners Stock By Age</t>
  </si>
  <si>
    <t>VDeI2btrNih</t>
  </si>
  <si>
    <t>Surgical Specialists Practitioners Stock Total</t>
  </si>
  <si>
    <t>s10VCchdlnY</t>
  </si>
  <si>
    <t>Nutritionists Stock birth loc.</t>
  </si>
  <si>
    <t>qE7bXo1gdhI</t>
  </si>
  <si>
    <t>Midwifery personnel Stock birth loc.</t>
  </si>
  <si>
    <t>U0YDqrjO4sv</t>
  </si>
  <si>
    <t>Env &amp; Occup Health Professionals Stock traing loc.</t>
  </si>
  <si>
    <t>qCRmLPzIMfA</t>
  </si>
  <si>
    <t>Midwifery personnel Stock HF owner</t>
  </si>
  <si>
    <t>TxYXq9qqMJt</t>
  </si>
  <si>
    <t>Personal care workers  Stock Total</t>
  </si>
  <si>
    <t>xxeHTOGKpCJ</t>
  </si>
  <si>
    <t>Other non-medical proff. staff Stock By Age</t>
  </si>
  <si>
    <t>OYoY16njQBO</t>
  </si>
  <si>
    <t>Medical Specialists Practitioners Stock By Level</t>
  </si>
  <si>
    <t>Pharmacists composition and distribution source ty</t>
  </si>
  <si>
    <t>uj0O9RhtzD8</t>
  </si>
  <si>
    <t>Health Inf systems personnel Stock HF type</t>
  </si>
  <si>
    <t>HamZOQ3wtl5</t>
  </si>
  <si>
    <t>Psychologists Stock By Age</t>
  </si>
  <si>
    <t>mZVNxEL1OKd</t>
  </si>
  <si>
    <t>Nursing Associate Professionals Stock HF type</t>
  </si>
  <si>
    <t>Paramedical Practitioners composition source type</t>
  </si>
  <si>
    <t>P6Si86K02do</t>
  </si>
  <si>
    <t>Audiologists &amp; Speech Therapists Stock birth loc.</t>
  </si>
  <si>
    <t>DeDi7rft4BB</t>
  </si>
  <si>
    <t>Other non-medical proff. staff Stock By Level</t>
  </si>
  <si>
    <t>HU1QlB34WcG</t>
  </si>
  <si>
    <t>Nursing Professionals Stock HF owner</t>
  </si>
  <si>
    <t>QayMME14lE1</t>
  </si>
  <si>
    <t>Obstetricians and Gynaecologists Stock birth loc.</t>
  </si>
  <si>
    <t>mEaeC6W4Oga</t>
  </si>
  <si>
    <t>Midwifery Associate Professionals Stock birth loc.</t>
  </si>
  <si>
    <t>klIqXXMQ1AF</t>
  </si>
  <si>
    <t>Medical Assistants Stock birth loc.</t>
  </si>
  <si>
    <t>ifKISqV6PJh</t>
  </si>
  <si>
    <t>Medical Doctors Stock birth loc.</t>
  </si>
  <si>
    <t>HmD6AHanlbO</t>
  </si>
  <si>
    <t>Nursing Personnel Stock birth loc.</t>
  </si>
  <si>
    <t>I5C27Tsoc8I</t>
  </si>
  <si>
    <t>Medical secretaries stock Total</t>
  </si>
  <si>
    <t>T7KjtN9SenL</t>
  </si>
  <si>
    <t>Personal care workers  Stock By Age</t>
  </si>
  <si>
    <t>Other non-medical professional composition source</t>
  </si>
  <si>
    <t>YvRkyv7LXzq</t>
  </si>
  <si>
    <t>Nurses not further defined  Stock HF owner</t>
  </si>
  <si>
    <t>Dieticians  composition source type</t>
  </si>
  <si>
    <t>VCVhaAxv3AP</t>
  </si>
  <si>
    <t>Pharmacists Stock By Age</t>
  </si>
  <si>
    <t>y18n64afzoH</t>
  </si>
  <si>
    <t>Medical secretaries stock HF owner</t>
  </si>
  <si>
    <t>kRrGCtqloph</t>
  </si>
  <si>
    <t>Surgical Specialists Practitioners Stock By Age</t>
  </si>
  <si>
    <t>AVOrdyQXSal</t>
  </si>
  <si>
    <t>Traditional Med Professionals Stock birth loc.</t>
  </si>
  <si>
    <t>xpa2vZRWT7M</t>
  </si>
  <si>
    <t>Nurses not further defined Stock By Age</t>
  </si>
  <si>
    <t>psjx0PchSPj</t>
  </si>
  <si>
    <t>Administrative staff Stock traing loc.</t>
  </si>
  <si>
    <t>Biomedical engineer composition source type</t>
  </si>
  <si>
    <t>cIyw7ChjlgG</t>
  </si>
  <si>
    <t>Medical Prosthetic Technicians Stock HF type</t>
  </si>
  <si>
    <t>Pmr5vKV0JhS</t>
  </si>
  <si>
    <t>Managerial staff Stock By Sex</t>
  </si>
  <si>
    <t>IT332UM0Eyd</t>
  </si>
  <si>
    <t>Dieticians  Stock birth loc.</t>
  </si>
  <si>
    <t>wQ1FfvMZU9a</t>
  </si>
  <si>
    <t>Midwifery Associate Professionals Stock By Level</t>
  </si>
  <si>
    <t>ae8CH5krsam</t>
  </si>
  <si>
    <t>Medical Specialists Practitioners Stock HF owner</t>
  </si>
  <si>
    <t>UJw5MYbIpv9</t>
  </si>
  <si>
    <t>Surgical Specialists Practitioners Stock By Sex</t>
  </si>
  <si>
    <t>aotiqu4EAWq</t>
  </si>
  <si>
    <t>Personal workers in health n.e.c Stock By Sex</t>
  </si>
  <si>
    <t>rhltpqitzC9</t>
  </si>
  <si>
    <t>Gen Paediatricians Practitioners Stock By Sex</t>
  </si>
  <si>
    <t>Nf5yWoOEfSm</t>
  </si>
  <si>
    <t>Nursing Assoc Proff midwifery training By Age</t>
  </si>
  <si>
    <t>PDI1LOtG5mD</t>
  </si>
  <si>
    <t>Specialist Medical Practitioners Stock HF type</t>
  </si>
  <si>
    <t>ry2NWNkjLq3</t>
  </si>
  <si>
    <t>Dispensing Opticians Stock By Sex</t>
  </si>
  <si>
    <t>bcIh7bdXz7D</t>
  </si>
  <si>
    <t>Health Inf systems personnel Stock HF owner</t>
  </si>
  <si>
    <t>wSbrjoq0URr</t>
  </si>
  <si>
    <t>Optometrists &amp; Ophthalmic optis. Stock birth loc.</t>
  </si>
  <si>
    <t>klKaUMVsHxb</t>
  </si>
  <si>
    <t>Psychiatrists Practitioners Stock traing loc.</t>
  </si>
  <si>
    <t>ixpABERkob0</t>
  </si>
  <si>
    <t>Nursing  Personnel Stock By Level</t>
  </si>
  <si>
    <t>T10hGZHcK7q</t>
  </si>
  <si>
    <t>Nutritionists Stock By Level</t>
  </si>
  <si>
    <t>nkvvH6QuQ8t</t>
  </si>
  <si>
    <t>Env and Occup Health Inspectors Stock Total</t>
  </si>
  <si>
    <t>xUbrx2VHCy1</t>
  </si>
  <si>
    <t>Managerial staff Stock traing loc.</t>
  </si>
  <si>
    <t>m4Yz9Nz5Eir</t>
  </si>
  <si>
    <t>Paramedical Practitioners Stock By Level</t>
  </si>
  <si>
    <t>Social work associate composition source type</t>
  </si>
  <si>
    <t>Xya97JPAwJP</t>
  </si>
  <si>
    <t>Nursing Associate Professionals Stock traing loc.</t>
  </si>
  <si>
    <t>nLbuvx5jioD</t>
  </si>
  <si>
    <t>Medical Doctors Stock HF type</t>
  </si>
  <si>
    <t>Gt3WTdWYUeJ</t>
  </si>
  <si>
    <t>Midwifery Associate Professionals Stock By Sex</t>
  </si>
  <si>
    <t>rhcIHVJ1RxM</t>
  </si>
  <si>
    <t>Psychologists Stock By Level</t>
  </si>
  <si>
    <t>YFD6ZCWbKXZ</t>
  </si>
  <si>
    <t>Social work professionals Stock traing loc.</t>
  </si>
  <si>
    <t>Managerial staff composition source type</t>
  </si>
  <si>
    <t>mSHa8SypYaJ</t>
  </si>
  <si>
    <t>Dieticians  Stock By Age</t>
  </si>
  <si>
    <t>BbvMZojIbKI</t>
  </si>
  <si>
    <t>Managerial staff Stock By Level</t>
  </si>
  <si>
    <t>abfQV1VOf3t</t>
  </si>
  <si>
    <t>Gen Paediatricians Practitioners Stock HF owner</t>
  </si>
  <si>
    <t>M0jk7fncrWU</t>
  </si>
  <si>
    <t>Dispensing Opticians Stock By Age</t>
  </si>
  <si>
    <t>FU6JZtf1IOo</t>
  </si>
  <si>
    <t>Nursing Associate midwifery training source type</t>
  </si>
  <si>
    <t>lTZshHjGQEe</t>
  </si>
  <si>
    <t>Nurses not further defined Stock traing loc.</t>
  </si>
  <si>
    <t>PebkMQ9WtnK</t>
  </si>
  <si>
    <t>Biomedical engineer Stock birth loc.</t>
  </si>
  <si>
    <t>tqciYTsRsV1</t>
  </si>
  <si>
    <t>Dentists Stock Total</t>
  </si>
  <si>
    <t>F8ml1qKvZIY</t>
  </si>
  <si>
    <t>Social work professionals Stock By Sex</t>
  </si>
  <si>
    <t>h13bMS86rtI</t>
  </si>
  <si>
    <t>Other non-medical support staff Stock HF type</t>
  </si>
  <si>
    <t>Medical Records Technicians composition source typ</t>
  </si>
  <si>
    <t>qg3FIv25BEt</t>
  </si>
  <si>
    <t>Social work ass. professionals Stock Total</t>
  </si>
  <si>
    <t>MlBtet7M3rs</t>
  </si>
  <si>
    <t>Audiologists and Speech Therapists Stock HF type</t>
  </si>
  <si>
    <t>Pharmaceutical Technicians composition source type</t>
  </si>
  <si>
    <t>NVuew7FtnQS</t>
  </si>
  <si>
    <t>Nursing Associate Professionals Stock By Age</t>
  </si>
  <si>
    <t>bq00aLH9OPk</t>
  </si>
  <si>
    <t>Physiotherapy Technicians Stock HF owner</t>
  </si>
  <si>
    <t>gybBvP7vbBl</t>
  </si>
  <si>
    <t>Env and Occup Health Inspectors Stock HF type</t>
  </si>
  <si>
    <t>y44lwVkMgYI</t>
  </si>
  <si>
    <t>Obstetricians and Gynaecologists Stock By Sex</t>
  </si>
  <si>
    <t>GMP composition and distribution source type</t>
  </si>
  <si>
    <t>ugQXiXF3q1v</t>
  </si>
  <si>
    <t>Community Health Workers Stock HF type</t>
  </si>
  <si>
    <t>ByXuVj0h8L4</t>
  </si>
  <si>
    <t>Obstetricians and Gynaecologists Stock By Level</t>
  </si>
  <si>
    <t>oFXCMBtu71f</t>
  </si>
  <si>
    <t>Managerial staff Stock Total</t>
  </si>
  <si>
    <t>KLbSi3CJxSo</t>
  </si>
  <si>
    <t>Medical Prosthetic Technicians Stock traing loc.</t>
  </si>
  <si>
    <t>TTLIv7PVhKo</t>
  </si>
  <si>
    <t>General Medical Practitioners Stock HF type</t>
  </si>
  <si>
    <t>PtCFMK7nBkR</t>
  </si>
  <si>
    <t>Biomedical engineer Stock HF owner</t>
  </si>
  <si>
    <t>vtjakFLImYg</t>
  </si>
  <si>
    <t>Personal care workers  Stock HF type</t>
  </si>
  <si>
    <t>GKnY5V4PkhM</t>
  </si>
  <si>
    <t>Nutritionists Stock Total</t>
  </si>
  <si>
    <t>Tp6ETHHL2va</t>
  </si>
  <si>
    <t>Social work ass. professionals Stock HF type</t>
  </si>
  <si>
    <t>RNCFRfcGsEq</t>
  </si>
  <si>
    <t>Medical Laboratory Technicians  Stock Total</t>
  </si>
  <si>
    <t>HENe5Xv6B7j</t>
  </si>
  <si>
    <t>Nursing Professionals midwifery training By Sex</t>
  </si>
  <si>
    <t>nhAPWwIgUCL</t>
  </si>
  <si>
    <t>Personal care workers  Stock By Sex</t>
  </si>
  <si>
    <t>VIMlhSMF1Yl</t>
  </si>
  <si>
    <t>Dental Assistants and Therapists Stock Total</t>
  </si>
  <si>
    <t>dTCOMljlITC</t>
  </si>
  <si>
    <t>Traditional Assoc Professionals Stock Total</t>
  </si>
  <si>
    <t>fn91BEPSaGY</t>
  </si>
  <si>
    <t>Engineering and maintenance staff Stock birth loc.</t>
  </si>
  <si>
    <t>OpJzru7UHuG</t>
  </si>
  <si>
    <t>Dispensing Opticians Stock birth loc.</t>
  </si>
  <si>
    <t>jC51Spxta9C</t>
  </si>
  <si>
    <t>Dental Prosthetic Technicians Stock By Age</t>
  </si>
  <si>
    <t>loSyLnRwwBi</t>
  </si>
  <si>
    <t>Optometrists and Ophthalmic optis. Stock By Age</t>
  </si>
  <si>
    <t>iJzGpY38k41</t>
  </si>
  <si>
    <t>Nursing Professionals midwife training birth loc.</t>
  </si>
  <si>
    <t>r2DSRRcdILk</t>
  </si>
  <si>
    <t>Social work ass. professionals Stock traing loc.</t>
  </si>
  <si>
    <t>l7UXvoiTgEX</t>
  </si>
  <si>
    <t>Dental Assistants and Therapists Stock HF type</t>
  </si>
  <si>
    <t>wJ4GvUwxS9G</t>
  </si>
  <si>
    <t>Personal care workers  Stock HF owner</t>
  </si>
  <si>
    <t>sdCYhjOxnoD</t>
  </si>
  <si>
    <t>Other non-medical support staff Stock traing loc.</t>
  </si>
  <si>
    <t>OJVKXPCUetq</t>
  </si>
  <si>
    <t>Dentists Stock HF owner</t>
  </si>
  <si>
    <t>tnPO3Tkofqr</t>
  </si>
  <si>
    <t>Medical doctors not further defined Stock HF type</t>
  </si>
  <si>
    <t>Optometrists composition source type</t>
  </si>
  <si>
    <t>Midwifery Professionals composition source type</t>
  </si>
  <si>
    <t>fqPqYs1WW22</t>
  </si>
  <si>
    <t>Dieticians  Stock Total</t>
  </si>
  <si>
    <t>sRfhRRpv2rH</t>
  </si>
  <si>
    <t>Personal care workers  Stock birth loc.</t>
  </si>
  <si>
    <t>Osqz2NJoO0h</t>
  </si>
  <si>
    <t>Nurses not further defined Stock By Level</t>
  </si>
  <si>
    <t>ERAgsIEBM5o</t>
  </si>
  <si>
    <t>Medical Assistants Stock traing loc.</t>
  </si>
  <si>
    <t>srcYifXOgXq</t>
  </si>
  <si>
    <t>Administrative staff Stock By Sex</t>
  </si>
  <si>
    <t>UcfAgoEEjT2</t>
  </si>
  <si>
    <t>Dispensing Opticians Stock HF owner</t>
  </si>
  <si>
    <t>Physiotherapists composition source type</t>
  </si>
  <si>
    <t>Environmental Health Inspectors composition source</t>
  </si>
  <si>
    <t>M1ZpUXbo7Ql</t>
  </si>
  <si>
    <t>Nursing Professionals Stock By Level</t>
  </si>
  <si>
    <t>tyyxKXZbYjI</t>
  </si>
  <si>
    <t>Surgical Specialists Practitioners Stock By Level</t>
  </si>
  <si>
    <t>LKiTYPmaOhj</t>
  </si>
  <si>
    <t>Midwifery Associate Professionals composition sour</t>
  </si>
  <si>
    <t>jj5ZtVGdcwd</t>
  </si>
  <si>
    <t>Medical doctors not further defined Stock Total</t>
  </si>
  <si>
    <t>u8eW1I03rvW</t>
  </si>
  <si>
    <t>Env and Occup Health Inspectors Stock traing loc.</t>
  </si>
  <si>
    <t>ywCZ6qdZsCX</t>
  </si>
  <si>
    <t>Dentists Stock By Sex</t>
  </si>
  <si>
    <t>EKWgav1YgFc</t>
  </si>
  <si>
    <t>Medical doctors NFD Stock traing loc.</t>
  </si>
  <si>
    <t>XMzAw0vw5Ep</t>
  </si>
  <si>
    <t>Social work ass. professionals Stock By Level</t>
  </si>
  <si>
    <t>nNmvfTuUhng</t>
  </si>
  <si>
    <t>Medical Specialists Practitioners Stock Total</t>
  </si>
  <si>
    <t>J8m9vtLVo2G</t>
  </si>
  <si>
    <t>Dieticians  Stock HF owner</t>
  </si>
  <si>
    <t>rRfHbsBLHRx</t>
  </si>
  <si>
    <t>Pharmaceutical Technicians &amp; Ass. Stock birth loc.</t>
  </si>
  <si>
    <t>uoqUo1n2Bbr</t>
  </si>
  <si>
    <t>Midwifery Associate Professionals Stock By Age</t>
  </si>
  <si>
    <t>aOYOo12rVAs</t>
  </si>
  <si>
    <t>Midwifery Professionals Stock By Age</t>
  </si>
  <si>
    <t>ksZnJo3iKXT</t>
  </si>
  <si>
    <t>Env and Occup Health Inspectors Stock By Sex</t>
  </si>
  <si>
    <t>qKf4eMvqKqq</t>
  </si>
  <si>
    <t>Nursing Professionals midwifery training Total</t>
  </si>
  <si>
    <t>EnoivPEWUMM</t>
  </si>
  <si>
    <t>Midwifery Professionals Stock birth loc.</t>
  </si>
  <si>
    <t>QLqvnN57uaj</t>
  </si>
  <si>
    <t>Medical secretaries stock HF type</t>
  </si>
  <si>
    <t>aZKKBa26tmF</t>
  </si>
  <si>
    <t>Physiotherapists Stock HF type</t>
  </si>
  <si>
    <t>pS9QqWeC7OO</t>
  </si>
  <si>
    <t>General Medical Practitioners Stock traing loc.</t>
  </si>
  <si>
    <t>XB5JA2zOjnB</t>
  </si>
  <si>
    <t>Administrative staff Stock By Level</t>
  </si>
  <si>
    <t>y2QmWTVJ0F0</t>
  </si>
  <si>
    <t>Engineering and maintenance staff Stock HF owner</t>
  </si>
  <si>
    <t>o2tDeZ7tB0l</t>
  </si>
  <si>
    <t>Traditional Med. Professionals Stock traing loc.</t>
  </si>
  <si>
    <t>cukiq4gvnKu</t>
  </si>
  <si>
    <t>Medical Assistants Stock By Sex</t>
  </si>
  <si>
    <t>cg1DEEIeZ9N</t>
  </si>
  <si>
    <t>Physiotherapists Stock Total</t>
  </si>
  <si>
    <t>maFtwxdHWuZ</t>
  </si>
  <si>
    <t>Community Health Workers Stock Total</t>
  </si>
  <si>
    <t>SPcq2CZFyzT</t>
  </si>
  <si>
    <t>Engineering and maintenance staff Stock By Level</t>
  </si>
  <si>
    <t>tZ3CM9qXx2R</t>
  </si>
  <si>
    <t>Psychologists stock source type</t>
  </si>
  <si>
    <t>PmJk7pg8ZH7</t>
  </si>
  <si>
    <t>Env and Occup Health Inspectors Stock birth loc.</t>
  </si>
  <si>
    <t>u1aymSGFTqA</t>
  </si>
  <si>
    <t>Midwives not further defined Stock birth loc.</t>
  </si>
  <si>
    <t>NxQueFeUfa3</t>
  </si>
  <si>
    <t>Medical Prosthetic Technicians Stock birth loc.</t>
  </si>
  <si>
    <t>Fgp2erpoOMQ</t>
  </si>
  <si>
    <t>Medical Records and HIS Techs. Stock HF owner</t>
  </si>
  <si>
    <t>eWlZ0JPdgiX</t>
  </si>
  <si>
    <t>Specialist Medical Practitioners Stock birth loc.</t>
  </si>
  <si>
    <t>e7mFNsyiTtQ</t>
  </si>
  <si>
    <t>Nurses not further defined Stock HF type</t>
  </si>
  <si>
    <t>jLhYGG8YfpL</t>
  </si>
  <si>
    <t>Imaging Technicians Stock traing loc.</t>
  </si>
  <si>
    <t>RLUq9bhLRJW</t>
  </si>
  <si>
    <t>Physiotherapists Stock traing loc.</t>
  </si>
  <si>
    <t>kv8QLREJZk6</t>
  </si>
  <si>
    <t>Dieticians  Stock HF type</t>
  </si>
  <si>
    <t>vDp3u0DJlrK</t>
  </si>
  <si>
    <t>Optometrists and Ophthalmic optis. Stock Total</t>
  </si>
  <si>
    <t>gEnofzKU8FV</t>
  </si>
  <si>
    <t>Other non-medical support staff Stock By Age</t>
  </si>
  <si>
    <t>rzOMBqJQhrD</t>
  </si>
  <si>
    <t>Other non-medical proff. staff Stock By Sex</t>
  </si>
  <si>
    <t>ot3GyBTHeKe</t>
  </si>
  <si>
    <t>Managerial staff Stock By Age</t>
  </si>
  <si>
    <t>rotANIe2GHX</t>
  </si>
  <si>
    <t>Env and Occup Health Professionals Stock HF type</t>
  </si>
  <si>
    <t>fUCZtV4BiIH</t>
  </si>
  <si>
    <t>Medical Assistants Stock By Age</t>
  </si>
  <si>
    <t>ldpEanGgRnU</t>
  </si>
  <si>
    <t>Traditional Assoc Professionals Stock By Level</t>
  </si>
  <si>
    <t>ec8BXAwrBTh</t>
  </si>
  <si>
    <t>Biomedical engineer Stock Total</t>
  </si>
  <si>
    <t>yRAQ7e6fhhL</t>
  </si>
  <si>
    <t>Psychiatrists Practitioners Stock HF owner</t>
  </si>
  <si>
    <t>tjT8FgtoZmV</t>
  </si>
  <si>
    <t>General Medical Practitioners Stock birth loc.</t>
  </si>
  <si>
    <t>Physiotherapy Technicians composition source type</t>
  </si>
  <si>
    <t>jD7f0DfCi3d</t>
  </si>
  <si>
    <t>Medical doctors not further defined Stock By Age</t>
  </si>
  <si>
    <t>ISnx1WJdoMN</t>
  </si>
  <si>
    <t>Health Inf systems personnel Stock traing loc.</t>
  </si>
  <si>
    <t>AlxUCNc8gwW</t>
  </si>
  <si>
    <t>Gen Paediatricians Practitioners Stock HF type</t>
  </si>
  <si>
    <t>qpN0r5UFcPn</t>
  </si>
  <si>
    <t>Medical Laboratory Technicians  Stock By Age</t>
  </si>
  <si>
    <t>Fm2HakleZ27</t>
  </si>
  <si>
    <t>Medical Laboratory scientists Stock Total</t>
  </si>
  <si>
    <t>EHRN1PJaEfH</t>
  </si>
  <si>
    <t>Dispensing Opticians Stock traing loc.</t>
  </si>
  <si>
    <t>jBu0lozRMGR</t>
  </si>
  <si>
    <t>Medical Prosthetic Technicians Stock By Sex</t>
  </si>
  <si>
    <t>h0mNqlvj5B0</t>
  </si>
  <si>
    <t>Traditional Assoc Professionals Stock HF owner</t>
  </si>
  <si>
    <t>QxPGLy2DUhG</t>
  </si>
  <si>
    <t>Psychiatrists Practitioners Stock Total</t>
  </si>
  <si>
    <t>Psx8w32IjKA</t>
  </si>
  <si>
    <t>Ambulance Workers Stock By Age</t>
  </si>
  <si>
    <t>z6awB2DkDD5</t>
  </si>
  <si>
    <t>Other Specialists Practitioners Stock HF type</t>
  </si>
  <si>
    <t>YLgpCsLXIoM</t>
  </si>
  <si>
    <t>Traditional Assoc Professionals Stock By Age</t>
  </si>
  <si>
    <t>Sbk9iH85Ltm</t>
  </si>
  <si>
    <t>Home-based Personal Care Workers Stock HF type</t>
  </si>
  <si>
    <t>e9thFQZbFg5</t>
  </si>
  <si>
    <t>Gen Paediatricians Practitioners Stock By Age</t>
  </si>
  <si>
    <t>BnCaf6ZXM1P</t>
  </si>
  <si>
    <t>Health Care Assistants Stock HF owner</t>
  </si>
  <si>
    <t>Traditional Medicine Professionals composition sou</t>
  </si>
  <si>
    <t>sRVnECfvFs7</t>
  </si>
  <si>
    <t>Paramedical Practitioners Stock traing loc.</t>
  </si>
  <si>
    <t>ZzxjmR8ys0i</t>
  </si>
  <si>
    <t>Audiologists and Speech Therapists Stock traing lo</t>
  </si>
  <si>
    <t>U20BELNfToU</t>
  </si>
  <si>
    <t>Midwifery personnel Stock By Level</t>
  </si>
  <si>
    <t>gm3SPYN1Kox</t>
  </si>
  <si>
    <t>Obstetricians and Gynaecologists Stock HF owner</t>
  </si>
  <si>
    <t>ZPgTreSg9Xd</t>
  </si>
  <si>
    <t>Midwifery personnel Stock By Age</t>
  </si>
  <si>
    <t>UVmyzENvSiy</t>
  </si>
  <si>
    <t>Env and Occup Health Professionals Stock HF owner</t>
  </si>
  <si>
    <t>Audiologists composition source type</t>
  </si>
  <si>
    <t>Y5XqolkuMAw</t>
  </si>
  <si>
    <t>Social work ass. professionals Stock birth loc.</t>
  </si>
  <si>
    <t>pZph18i0E3N</t>
  </si>
  <si>
    <t>Dental Prosthetic Technicians Stock HF type</t>
  </si>
  <si>
    <t>fEck0UnAFaV</t>
  </si>
  <si>
    <t>MD composition and distribution source type</t>
  </si>
  <si>
    <t>OfROf5GmY2U</t>
  </si>
  <si>
    <t>Managerial staff Stock HF owner</t>
  </si>
  <si>
    <t>oWqVbrpimjf</t>
  </si>
  <si>
    <t>Nursing Associate Professionals Stock By Sex</t>
  </si>
  <si>
    <t>It06Qq2EzsF</t>
  </si>
  <si>
    <t>Personal workers in health n.e.c Stock Total</t>
  </si>
  <si>
    <t>vCOrIolhyxP</t>
  </si>
  <si>
    <t>General Medical Practitioners Stock By Sex</t>
  </si>
  <si>
    <t>J6Zk3SfpHfM</t>
  </si>
  <si>
    <t>Imaging Technicians Stock HF type</t>
  </si>
  <si>
    <t>sV8cE4AX2yl</t>
  </si>
  <si>
    <t>Working personnel in the health sector</t>
  </si>
  <si>
    <t>vnulYqEDjxA</t>
  </si>
  <si>
    <t>Midwives NFD composition source type</t>
  </si>
  <si>
    <t>Dental Prosthetic Technicians composition source t</t>
  </si>
  <si>
    <t>wrceD1un08Y</t>
  </si>
  <si>
    <t>Nursing  Personnel Stock By Sex</t>
  </si>
  <si>
    <t>a0csXCPXx1W</t>
  </si>
  <si>
    <t>Health Care Assistants Stock HF type</t>
  </si>
  <si>
    <t>GJUbT5P29ol</t>
  </si>
  <si>
    <t>Dispensing Opticians Stock By Level</t>
  </si>
  <si>
    <t>wTnjwDdCIrS</t>
  </si>
  <si>
    <t>Optometrists &amp; Ophthalmic optis. Stock traing loc.</t>
  </si>
  <si>
    <t>hnFSVoNKKBM</t>
  </si>
  <si>
    <t>Paramedical Practitioners Stock By Age</t>
  </si>
  <si>
    <t>nsI6nzlSumR</t>
  </si>
  <si>
    <t>Engineering and maintenance staff Stock By Sex</t>
  </si>
  <si>
    <t>Ni2b6zYWjjT</t>
  </si>
  <si>
    <t>Foreign trained Nurses</t>
  </si>
  <si>
    <t>NUMBER</t>
  </si>
  <si>
    <t>cSqX4ymZmHA</t>
  </si>
  <si>
    <t>Nursing Associate Proff midwifery training by loc.</t>
  </si>
  <si>
    <t>bmaxDrrFSqz</t>
  </si>
  <si>
    <t>Biomedical engineer Stock By Level</t>
  </si>
  <si>
    <t>M6upUqnFt2Z</t>
  </si>
  <si>
    <t>Other Specialists Practitioners Stock birth loc.</t>
  </si>
  <si>
    <t>xVfmJLKTvoj</t>
  </si>
  <si>
    <t>Medical Laboratory scientists Stock traing loc.</t>
  </si>
  <si>
    <t>Q7AJ1ykq09H</t>
  </si>
  <si>
    <t>General Medical Practitioners Stock HF owner</t>
  </si>
  <si>
    <t>uQaaJtnfFWM</t>
  </si>
  <si>
    <t>Dieticians  Stock traing loc.</t>
  </si>
  <si>
    <t>I5EztFwNzC0</t>
  </si>
  <si>
    <t>General Medical Practitioners Stock By Age</t>
  </si>
  <si>
    <t>TRB0RlFABNw</t>
  </si>
  <si>
    <t>Nutritionists Stock HF owner</t>
  </si>
  <si>
    <t>pmcCjSU7an3</t>
  </si>
  <si>
    <t>Other non-medical proff. staff Stock traing loc.</t>
  </si>
  <si>
    <t>Tu64Vt7gv8M</t>
  </si>
  <si>
    <t>Dispensing Opticians Stock Total</t>
  </si>
  <si>
    <t>WPM1HkXyf6Z</t>
  </si>
  <si>
    <t>Managerial staff Stock birth loc.</t>
  </si>
  <si>
    <t>chzRB2FreBe</t>
  </si>
  <si>
    <t>Medical secretaries stock By Age</t>
  </si>
  <si>
    <t>uqzqgaYByJq</t>
  </si>
  <si>
    <t>Administrative staff Stock HF owner</t>
  </si>
  <si>
    <t>DgWsmHVv1JM</t>
  </si>
  <si>
    <t>Dental Prosthetic Technicians Stock By Level</t>
  </si>
  <si>
    <t>Dispensing Opticians composition source type</t>
  </si>
  <si>
    <t>wvIYNx8b7rt</t>
  </si>
  <si>
    <t>Community Health Workers Stock By Age</t>
  </si>
  <si>
    <t>tWbJWEUNu2F</t>
  </si>
  <si>
    <t>Midwifery Professionals Stock By Sex</t>
  </si>
  <si>
    <t>RCcjOgia5lC</t>
  </si>
  <si>
    <t>Physiotherapists Stock HF owner</t>
  </si>
  <si>
    <t>nOKbmhjyCYA</t>
  </si>
  <si>
    <t>Nursing Associate Proff midwifery training HF type</t>
  </si>
  <si>
    <t>Ml6HBooImtM</t>
  </si>
  <si>
    <t>Midwifery Professionals Stock By Level</t>
  </si>
  <si>
    <t>LrDRewV80hv</t>
  </si>
  <si>
    <t>Env &amp; Occup Health Professionals Stock birth loc.</t>
  </si>
  <si>
    <t>Dentists composition and distribution source type</t>
  </si>
  <si>
    <t>AtZVwbugSqv</t>
  </si>
  <si>
    <t>Medical Laboratory scientists Stock HF type</t>
  </si>
  <si>
    <t>W1OgOlx2UPS</t>
  </si>
  <si>
    <t>Env and Occup Health Professionals Stock Total</t>
  </si>
  <si>
    <t>m5NFJ1IxYaq</t>
  </si>
  <si>
    <t>Home-based Personal Care Workers Stock Total</t>
  </si>
  <si>
    <t>LPTrylkVM4Q</t>
  </si>
  <si>
    <t>Midwives not further defined Stock Total</t>
  </si>
  <si>
    <t>XCsof9AN6rv</t>
  </si>
  <si>
    <t>Medical Laboratory Technicians  Stock traing loc.</t>
  </si>
  <si>
    <t>EIh0f0A4G1N</t>
  </si>
  <si>
    <t>Physiotherapy Technicians Stock birth loc.</t>
  </si>
  <si>
    <t>Nursing Associate composition source type</t>
  </si>
  <si>
    <t>dYKAIYSnLue</t>
  </si>
  <si>
    <t>Medical Records and HIS Techs. Stock Total</t>
  </si>
  <si>
    <t>pRrlf6NYYmU</t>
  </si>
  <si>
    <t>Nursing Assoc Proff. midwifery training birth loc.</t>
  </si>
  <si>
    <t>f75GbjjbQo6</t>
  </si>
  <si>
    <t>Home-based Personal Care Workers Stock By Sex</t>
  </si>
  <si>
    <t>rBKkHNAdzhB</t>
  </si>
  <si>
    <t>Physiotherapy Technicians Stock By Level</t>
  </si>
  <si>
    <t>s92LZ9RuhaG</t>
  </si>
  <si>
    <t>Social work professionals Stock HF owner</t>
  </si>
  <si>
    <t>DqCmuPyyEKP</t>
  </si>
  <si>
    <t>Gen Paediatricians Practitioners Stock birth loc.</t>
  </si>
  <si>
    <t>J1gsCnLV1C6</t>
  </si>
  <si>
    <t>MD not further defined Stock By Activity Level</t>
  </si>
  <si>
    <t>U30oYXdSWTe</t>
  </si>
  <si>
    <t>Social work professionals Stock HF type</t>
  </si>
  <si>
    <t>v8Xnaigda7O</t>
  </si>
  <si>
    <t>Other non-medical support staff Stock Total</t>
  </si>
  <si>
    <t>e2G8l2GXMCi</t>
  </si>
  <si>
    <t>Engineering &amp; maintenance staff Stock traing loc.</t>
  </si>
  <si>
    <t>Ambulance Workers composition source type</t>
  </si>
  <si>
    <t>gLjLQFU5iGR</t>
  </si>
  <si>
    <t>Medical Laboratory Technicians  Stock birth loc.</t>
  </si>
  <si>
    <t>m7MTceflWz3</t>
  </si>
  <si>
    <t>Nursing Associate Professionals Stock By Level</t>
  </si>
  <si>
    <t>o1HqfAPcWtK</t>
  </si>
  <si>
    <t>Nursing  Personnel  Stock By Age</t>
  </si>
  <si>
    <t>xTOiNS0zd6y</t>
  </si>
  <si>
    <t>Pharmaceutical Technicians &amp; Ass. Stock By Level</t>
  </si>
  <si>
    <t>UN1GGvFlETF</t>
  </si>
  <si>
    <t>Health Care Assistants Stock Total</t>
  </si>
  <si>
    <t>IgzM67pvha5</t>
  </si>
  <si>
    <t>Psychologists Stock traing loc.</t>
  </si>
  <si>
    <t>HSgxaTyJ0kK</t>
  </si>
  <si>
    <t>Env and Occup Health Inspectors Stock By Age</t>
  </si>
  <si>
    <t>N6pEEiEpNS1</t>
  </si>
  <si>
    <t>Specialist Medical Practitioners Stock HF owner</t>
  </si>
  <si>
    <t>XAFQH7WySNo</t>
  </si>
  <si>
    <t>Pharmaceutical Technicians &amp; Ass. Stock By Sex</t>
  </si>
  <si>
    <t>SSP Composition source type</t>
  </si>
  <si>
    <t>YSl2WAd1E5g</t>
  </si>
  <si>
    <t>Dentists Stock By Age</t>
  </si>
  <si>
    <t>hd3EEwIBQ9P</t>
  </si>
  <si>
    <t>Community Health Workers Stock traing loc.</t>
  </si>
  <si>
    <t>Ta8ifRxwOmP</t>
  </si>
  <si>
    <t>Specialist Medical Practitioners Stock Total</t>
  </si>
  <si>
    <t>weKsEzlw3cl</t>
  </si>
  <si>
    <t>Paramedical Practitioners Stock By Sex</t>
  </si>
  <si>
    <t>yelUZHtyQ3J</t>
  </si>
  <si>
    <t>Midwifery Professionals Stock traing loc.</t>
  </si>
  <si>
    <t>MNblETb62a7</t>
  </si>
  <si>
    <t>Personal workers in health n.e.c Stock By Level</t>
  </si>
  <si>
    <t>MazllecOrQC</t>
  </si>
  <si>
    <t>Midwifery personnel Stock By Sex</t>
  </si>
  <si>
    <t>brISQQxW1xp</t>
  </si>
  <si>
    <t>Module 1 additional information</t>
  </si>
  <si>
    <t>LONG_TEXT</t>
  </si>
  <si>
    <t>Health Care Assistants composition source type</t>
  </si>
  <si>
    <t>puzqoVkC9bH</t>
  </si>
  <si>
    <t>Specialist Medical Practitioners Stock By Age</t>
  </si>
  <si>
    <t>OGP Composition source type</t>
  </si>
  <si>
    <t>L9jYzVsoc9L</t>
  </si>
  <si>
    <t>Imaging Technicians Stock birth loc.</t>
  </si>
  <si>
    <t>AZCkBzUZgTr</t>
  </si>
  <si>
    <t>Medical Laboratory scientists Stock By Level</t>
  </si>
  <si>
    <t>RZezdwRO5a8</t>
  </si>
  <si>
    <t>Personal workers in health n.e.c Stock traing loc.</t>
  </si>
  <si>
    <t>pulohYIR6jX</t>
  </si>
  <si>
    <t>Medical secretaries stock traing loc.</t>
  </si>
  <si>
    <t>jwpUKqza5tE</t>
  </si>
  <si>
    <t>Other non-medical proff. staff Stock HF type</t>
  </si>
  <si>
    <t>yj5jWkUtBa9</t>
  </si>
  <si>
    <t>Other non-medical proff. staff Stock HF owner</t>
  </si>
  <si>
    <t>VmhSidKIxMp</t>
  </si>
  <si>
    <t>Medical secretaries stock By Level</t>
  </si>
  <si>
    <t>QvnSCGMRuiV</t>
  </si>
  <si>
    <t>Medical Laboratory Technicians  Stock HF owner</t>
  </si>
  <si>
    <t>G4NTIrtM8sA</t>
  </si>
  <si>
    <t>Personal care workers  Stock traing loc.</t>
  </si>
  <si>
    <t>Lbkg2I4JTgG</t>
  </si>
  <si>
    <t>Psychologists Stock By Sex</t>
  </si>
  <si>
    <t>mzBQp5cOihy</t>
  </si>
  <si>
    <t>Gen Paediatricians Practitioners Stock Total</t>
  </si>
  <si>
    <t>PP Composition source type</t>
  </si>
  <si>
    <t>iDHwJraJp3Y</t>
  </si>
  <si>
    <t>Pharmacists Stock Total</t>
  </si>
  <si>
    <t>t5jOlOCqSr3</t>
  </si>
  <si>
    <t>Midwifery personnel Stock Total</t>
  </si>
  <si>
    <t>vhjxKd80p4D</t>
  </si>
  <si>
    <t>Nursing Associate Proff. midwifery training By Sex</t>
  </si>
  <si>
    <t>l6nbxFm0CO4</t>
  </si>
  <si>
    <t>Nutritionists Stock HF type</t>
  </si>
  <si>
    <t>eXmcYNVuuUY</t>
  </si>
  <si>
    <t>Psychiatrists Practitioners Stock By Sex</t>
  </si>
  <si>
    <t>yoh1AojJqBm</t>
  </si>
  <si>
    <t>Ambulance Workers Stock By Sex</t>
  </si>
  <si>
    <t>gWxbpG09atk</t>
  </si>
  <si>
    <t>Ambulance Workers Stock By Level</t>
  </si>
  <si>
    <t>DiZ4xWoiBwI</t>
  </si>
  <si>
    <t>Other Specialists Practitioners Stock By Age</t>
  </si>
  <si>
    <t>Yxkvq7nmosQ</t>
  </si>
  <si>
    <t>General Medical Practitioners Stock Total</t>
  </si>
  <si>
    <t>D2jYg0gfya0</t>
  </si>
  <si>
    <t>Paramedical Practitioners Stock birth loc.</t>
  </si>
  <si>
    <t>dm67bKt2Veu</t>
  </si>
  <si>
    <t>Physiotherapy Technicians Stock traing loc.</t>
  </si>
  <si>
    <t>YkjANXB0C7q</t>
  </si>
  <si>
    <t>Health Inf systems personnel Stock By Age</t>
  </si>
  <si>
    <t>C1oMSkmD5am</t>
  </si>
  <si>
    <t>Health Care Assistants Stock birth loc.</t>
  </si>
  <si>
    <t>ABy98AXLIvi</t>
  </si>
  <si>
    <t>Nursing Associate Professionals Stock birth loc.</t>
  </si>
  <si>
    <t>HB Personal Care Workers composition source type</t>
  </si>
  <si>
    <t>hH5gFw01p2g</t>
  </si>
  <si>
    <t>Imaging Technicians Stock HF owner</t>
  </si>
  <si>
    <t>KwIlxiiBBjV</t>
  </si>
  <si>
    <t>Nursing Associate Proff midwifery training Total</t>
  </si>
  <si>
    <t>zpak4f1pJTR</t>
  </si>
  <si>
    <t>Imaging Technicians Stock By Level</t>
  </si>
  <si>
    <t>WzTFiecwTNZ</t>
  </si>
  <si>
    <t>Gen Paediatricians Practitioners Stock By Level</t>
  </si>
  <si>
    <t>QtxlZLxjuRg</t>
  </si>
  <si>
    <t>Surgical Specialists Practitioners Stock HF type</t>
  </si>
  <si>
    <t>NC58vY6UBEk</t>
  </si>
  <si>
    <t>Imaging Technicians Stock Total</t>
  </si>
  <si>
    <t>wP7Lmrb01c3</t>
  </si>
  <si>
    <t>Pharmacists Stock HF type</t>
  </si>
  <si>
    <t>bUGq4WaBHUD</t>
  </si>
  <si>
    <t>Other non-medical proff. staff Stock Total</t>
  </si>
  <si>
    <t>Et2p1cf7EeZ</t>
  </si>
  <si>
    <t>Pharmacists Stock By Sex</t>
  </si>
  <si>
    <t>tPCE4uhj0hy</t>
  </si>
  <si>
    <t>Medical doctors not further defined Stock By Sex</t>
  </si>
  <si>
    <t>qr8RGsOOdXn</t>
  </si>
  <si>
    <t>Ambulance Workers Stock Total</t>
  </si>
  <si>
    <t>WsVBFxzWhi1</t>
  </si>
  <si>
    <t>Medical Doctors Stock HF owner</t>
  </si>
  <si>
    <t>sbIyFRN4j0N</t>
  </si>
  <si>
    <t>Audiologists and Speech Therapists Stock Total</t>
  </si>
  <si>
    <t>uuHjvQ3uSjS</t>
  </si>
  <si>
    <t>Traditional Assoc Professionals Stock HF type</t>
  </si>
  <si>
    <t>rsyymElP56r</t>
  </si>
  <si>
    <t>Traditional Medicine Professionals Stock HF type</t>
  </si>
  <si>
    <t>ZaQ394eW9pZ</t>
  </si>
  <si>
    <t>Env and Occup Health Professionals Stock By Level</t>
  </si>
  <si>
    <t>lT2PXXEtNc0</t>
  </si>
  <si>
    <t>Administrative staff Stock Total</t>
  </si>
  <si>
    <t>Traditional Medicine Associate composition source</t>
  </si>
  <si>
    <t>zs2x5LAeI3t</t>
  </si>
  <si>
    <t>Physiotherapy Technicians Stock Total</t>
  </si>
  <si>
    <t>a7y6M6RSlfA</t>
  </si>
  <si>
    <t>Nursing Assoc Proff midwifery training HF owner</t>
  </si>
  <si>
    <t>j9SOCeGryr9</t>
  </si>
  <si>
    <t>Personal workers in health n.e.c Stock HF owner</t>
  </si>
  <si>
    <t>nXfMiK28avb</t>
  </si>
  <si>
    <t>Dental Assistants and Therapists Stock By Age</t>
  </si>
  <si>
    <t>VLSa4evEl7A</t>
  </si>
  <si>
    <t>Nursing Professionals midwife training by location</t>
  </si>
  <si>
    <t>K3UcvN3sbDf</t>
  </si>
  <si>
    <t>Biomedical engineer Stock HF type</t>
  </si>
  <si>
    <t>MIa6TVKj2xo</t>
  </si>
  <si>
    <t>Ambulance Workers Stock HF type</t>
  </si>
  <si>
    <t>JQkVqnP5kCq</t>
  </si>
  <si>
    <t>Psychiatrists Practitioners Stock By Level</t>
  </si>
  <si>
    <t>Medical Laboratory scientists composition source t</t>
  </si>
  <si>
    <t>Administrative staff composition source type</t>
  </si>
  <si>
    <t>SMP Composition source type</t>
  </si>
  <si>
    <t>smlHQk2gqIf</t>
  </si>
  <si>
    <t>Administrative staff Stock HF type</t>
  </si>
  <si>
    <t>DCAJyToy1TA</t>
  </si>
  <si>
    <t>Engineering and maintenance staff Stock Total</t>
  </si>
  <si>
    <t>arZWO8Ag3iO</t>
  </si>
  <si>
    <t>Midwives not further defined Stock By Sex</t>
  </si>
  <si>
    <t>hhiYH7hH3xx</t>
  </si>
  <si>
    <t>Psychologists Stock HF type</t>
  </si>
  <si>
    <t>jY9ia5NLA77</t>
  </si>
  <si>
    <t>Psychologists Stock Total</t>
  </si>
  <si>
    <t>KGnMzMLw9z0</t>
  </si>
  <si>
    <t>Nursing  Personnel Stock HF owner</t>
  </si>
  <si>
    <t>aVL32L9ycAJ</t>
  </si>
  <si>
    <t>Nursing Professionals Stock traing loc.</t>
  </si>
  <si>
    <t>Gi5YLztjtyB</t>
  </si>
  <si>
    <t>Physiotherapists Stock By Sex</t>
  </si>
  <si>
    <t>I5v0SqhcWvK</t>
  </si>
  <si>
    <t>Other non-medical support staff Stock HF owner</t>
  </si>
  <si>
    <t>ByA5wj8IJyQ</t>
  </si>
  <si>
    <t>Medical Specialists Practitioners Stock birth loc.</t>
  </si>
  <si>
    <t>JRLY2XBpopS</t>
  </si>
  <si>
    <t>Medical doctors NFD Stock birth loc.</t>
  </si>
  <si>
    <t>jnfm7mwyTcb</t>
  </si>
  <si>
    <t>Medical Records and HIS Techs. Stock traing loc.</t>
  </si>
  <si>
    <t>lzuWRVfUjkQ</t>
  </si>
  <si>
    <t>Obstetricians and Gynaecologists Stock HF type</t>
  </si>
  <si>
    <t>M22mM4UEDjy</t>
  </si>
  <si>
    <t>Pharmacists Stock traing loc.</t>
  </si>
  <si>
    <t>Izaihcp5imV</t>
  </si>
  <si>
    <t>Surgical specs Practitioners Stock birth loc.</t>
  </si>
  <si>
    <t>vnwzR6DohHp</t>
  </si>
  <si>
    <t>Health Inf systems personnel Stock By Level</t>
  </si>
  <si>
    <t>m5vdq5UM3B2</t>
  </si>
  <si>
    <t>Audiologists and Speech Therapists Stock HF owner</t>
  </si>
  <si>
    <t>EiN0OWdHFxO</t>
  </si>
  <si>
    <t>Dental Assistants and Therapists Stock HF owner</t>
  </si>
  <si>
    <t>kWzye8GtVeb</t>
  </si>
  <si>
    <t>Social work ass. professionals Stock By Sex</t>
  </si>
  <si>
    <t>ezAgi6u5Qta</t>
  </si>
  <si>
    <t>Midwives not further defined Stock HF type</t>
  </si>
  <si>
    <t>atZNVujwdt4</t>
  </si>
  <si>
    <t>Paramedical Practitioners Stock HF type</t>
  </si>
  <si>
    <t>iLowQAmnmZK</t>
  </si>
  <si>
    <t>Midwifery personnel Stock HF type</t>
  </si>
  <si>
    <t>XCSnh8ISj81</t>
  </si>
  <si>
    <t>Home-based Personal Care Workers Stock By Age</t>
  </si>
  <si>
    <t>jzhphQ54S88</t>
  </si>
  <si>
    <t>Pharmaceutical Technicians &amp; Ass. Stock HF owner</t>
  </si>
  <si>
    <t>olAQlCURSQR</t>
  </si>
  <si>
    <t>Medical Specialists Practitioners Stock By Sex</t>
  </si>
  <si>
    <t>yrP0fOB2Yxv</t>
  </si>
  <si>
    <t>Nursing personnel composition  source type</t>
  </si>
  <si>
    <t>Nv40tdMXtFC</t>
  </si>
  <si>
    <t>Surgical Specialists Practitioners Stock HF owner</t>
  </si>
  <si>
    <t>zv4Jk259Ks7</t>
  </si>
  <si>
    <t>Physiotherapists Stock By Age</t>
  </si>
  <si>
    <t>FZmk1UVPIqJ</t>
  </si>
  <si>
    <t>Obstetricians and Gynaecologists Stock By Age</t>
  </si>
  <si>
    <t>blaeng4GF8s</t>
  </si>
  <si>
    <t>Community Health Workers Stock HF owner</t>
  </si>
  <si>
    <t>sn72zXVjAF8</t>
  </si>
  <si>
    <t>Medical Records and HIS Techs. Stock By Age</t>
  </si>
  <si>
    <t>GPP Composition source type</t>
  </si>
  <si>
    <t>tejOvb3YNOT</t>
  </si>
  <si>
    <t>Dieticians  Stock By Level</t>
  </si>
  <si>
    <t>uHCDEltKEA6</t>
  </si>
  <si>
    <t>Midwifery Associate Professionals Stock Total</t>
  </si>
  <si>
    <t>u7WSQpbLBGs</t>
  </si>
  <si>
    <t>Midwifery Associate Professionals Stock HF type</t>
  </si>
  <si>
    <t>lduI45hYMv5</t>
  </si>
  <si>
    <t>Medical Records and HIS Techs. Stock HF type</t>
  </si>
  <si>
    <t>O3JfrNS9Ewj</t>
  </si>
  <si>
    <t>Pharmacists Stock birth loc.</t>
  </si>
  <si>
    <t>O2vEtUZRIRh</t>
  </si>
  <si>
    <t>Physiotherapy Technicians Stock HF type</t>
  </si>
  <si>
    <t>MaejJOaJVXy</t>
  </si>
  <si>
    <t>Other Specialists Practitioners Stock By Sex</t>
  </si>
  <si>
    <t>uTwQaiIEDk6</t>
  </si>
  <si>
    <t>Midwives NFD Stock By Level</t>
  </si>
  <si>
    <t>tu2P5ALJRow</t>
  </si>
  <si>
    <t>Foreign trained Medical doctors</t>
  </si>
  <si>
    <t>fmNedNy1Dz4</t>
  </si>
  <si>
    <t>Physiotherapy Technicians Stock By Sex</t>
  </si>
  <si>
    <t>O7xuokSXg4m</t>
  </si>
  <si>
    <t>Nursing Associate Professionals Stock HF owner</t>
  </si>
  <si>
    <t>OSP Composition source type</t>
  </si>
  <si>
    <t>eOwKCkmSUOO</t>
  </si>
  <si>
    <t>Engineering and maintenance staff Stock HF type</t>
  </si>
  <si>
    <t>FXGfkCMrBqo</t>
  </si>
  <si>
    <t>Nutritionists Stock traing loc.</t>
  </si>
  <si>
    <t>XI9W6umECmC</t>
  </si>
  <si>
    <t>Engineering and maintenance staff Stock By Age</t>
  </si>
  <si>
    <t>Nursing Professionals composition source type</t>
  </si>
  <si>
    <t>wbE8v4xoinz</t>
  </si>
  <si>
    <t>Dental Prosthetic Technicians Stock HF owner</t>
  </si>
  <si>
    <t>h7OW3TrJ61e</t>
  </si>
  <si>
    <t>Medical Assistants Stock By Level</t>
  </si>
  <si>
    <t>wFsm98Bnf40</t>
  </si>
  <si>
    <t>Dentists Stock birth loc.</t>
  </si>
  <si>
    <t>rQbVIOyPNHb</t>
  </si>
  <si>
    <t>Dental Assistants and Therapists Stock By Sex</t>
  </si>
  <si>
    <t>weJ3sYiNE8D</t>
  </si>
  <si>
    <t>Physiotherapists Stock By Level</t>
  </si>
  <si>
    <t>Dzsq1pwIHqF</t>
  </si>
  <si>
    <t>Medical Prosthetic Technicians Stock By Age</t>
  </si>
  <si>
    <t>KnNekvrEI5f</t>
  </si>
  <si>
    <t>Env and Occup Health Inspectors Stock By Level</t>
  </si>
  <si>
    <t>QQIXTkQuD9z</t>
  </si>
  <si>
    <t>Physiotherapy Technicians Stock By Age</t>
  </si>
  <si>
    <t>g9WyLxpr1E2</t>
  </si>
  <si>
    <t>Traditional Medicine Professionals Stock Total</t>
  </si>
  <si>
    <t>l1mCEuDf2ZI</t>
  </si>
  <si>
    <t>Midwifery personnel composition source type</t>
  </si>
  <si>
    <t>OMS7a4cxTLo</t>
  </si>
  <si>
    <t>Medical Laboratory scientists Stock HF owner</t>
  </si>
  <si>
    <t>GeB8aO0VMdh</t>
  </si>
  <si>
    <t>Midwives not further defined Stock HF owner</t>
  </si>
  <si>
    <t>c4JWYSERnO2</t>
  </si>
  <si>
    <t>Nursing Assoc Proff midwifery training By Level</t>
  </si>
  <si>
    <t>viM9AeYtFV6</t>
  </si>
  <si>
    <t>Social work ass. professionals Stock HF owner</t>
  </si>
  <si>
    <t>nW6KgPEVLIt</t>
  </si>
  <si>
    <t>Medical Laboratory scientists Stock By Age</t>
  </si>
  <si>
    <t>bs0ARZBxDgC</t>
  </si>
  <si>
    <t>Dispensing Opticians Stock HF type</t>
  </si>
  <si>
    <t>MxK9mbc2OMv</t>
  </si>
  <si>
    <t>Personal workers in health n.e.c Stock By Age</t>
  </si>
  <si>
    <t>NNFD composition and distribution source type</t>
  </si>
  <si>
    <t>JBCKANhdTX4</t>
  </si>
  <si>
    <t>Home-based Personal Care Workers Stock birth loc.</t>
  </si>
  <si>
    <t>b4XQdI8eqUZ</t>
  </si>
  <si>
    <t>categoryCombos</t>
  </si>
  <si>
    <t>NHWA_Age Group (&lt;25,25-34,35-44,45-54,55-64,&gt;65) yrs</t>
  </si>
  <si>
    <t>ihsAfRE2H0G</t>
  </si>
  <si>
    <t>NHWA_Activity Level</t>
  </si>
  <si>
    <t>swjTZ93dg4h</t>
  </si>
  <si>
    <t>NHWA_HF Ownership</t>
  </si>
  <si>
    <t>pTF4zHINsQO</t>
  </si>
  <si>
    <t>NHWA_Place of Training</t>
  </si>
  <si>
    <t>wywD4cOewZX</t>
  </si>
  <si>
    <t>NHWA_Source Type Mod 1</t>
  </si>
  <si>
    <t>U5QaBXGsFlJ</t>
  </si>
  <si>
    <t>NHWA_Working Facility Type</t>
  </si>
  <si>
    <t>A5bhyAmcZKV</t>
  </si>
  <si>
    <t>NHWA_Place of Birth</t>
  </si>
  <si>
    <t>uAB8kfk7I3z</t>
  </si>
  <si>
    <t>NHWA_Sex</t>
  </si>
  <si>
    <t>sPP5gqI4TC8</t>
  </si>
  <si>
    <t>NHWA_Foreing Trained HWF</t>
  </si>
  <si>
    <t>JzvGfLYkX17</t>
  </si>
  <si>
    <t>default</t>
  </si>
  <si>
    <t>vFHz3MkTm0K</t>
  </si>
  <si>
    <t>categories</t>
  </si>
  <si>
    <t>o2PYOw8PSBa</t>
  </si>
  <si>
    <t>xh8g6j8SEXR</t>
  </si>
  <si>
    <t>T1B1YJROUum</t>
  </si>
  <si>
    <t>RZ7aFEnVbGT</t>
  </si>
  <si>
    <t>F9DOHQaJYfU</t>
  </si>
  <si>
    <t>NHWA_Countries</t>
  </si>
  <si>
    <t>ac1IouPLQqe</t>
  </si>
  <si>
    <t>EOdyM2Jq6eh</t>
  </si>
  <si>
    <t>DMyxTSpvKOp</t>
  </si>
  <si>
    <t>pDcP5F8H0hR</t>
  </si>
  <si>
    <t>NZ7DsfjUbqo</t>
  </si>
  <si>
    <t>dataEntryForms</t>
  </si>
  <si>
    <t>NHWA Module 1 (2023)</t>
  </si>
  <si>
    <t>uc8uSqVVt4n</t>
  </si>
  <si>
    <t>dataSets</t>
  </si>
  <si>
    <t>sAC6z2IMFrR</t>
  </si>
  <si>
    <t>categoryOptionCombos</t>
  </si>
  <si>
    <t>hjdFz4fLLzw</t>
  </si>
  <si>
    <t>VxD9oa7UFFY</t>
  </si>
  <si>
    <t>NHWA_Domestic</t>
  </si>
  <si>
    <t>Ua4F7QDEr8y</t>
  </si>
  <si>
    <t>VioJV8V3lMO</t>
  </si>
  <si>
    <t>NHWA_45-54 yrs</t>
  </si>
  <si>
    <t>yDEKhOz2lvV</t>
  </si>
  <si>
    <t>GZTChYSePoP</t>
  </si>
  <si>
    <t>NHWA_Sierra Leone</t>
  </si>
  <si>
    <t>OyaYCadoBtb</t>
  </si>
  <si>
    <t>uIUcjj7o0UF</t>
  </si>
  <si>
    <t>DSefi5x6sWB</t>
  </si>
  <si>
    <t>pjDDwNroUiK</t>
  </si>
  <si>
    <t>Agh3IhNPIxF</t>
  </si>
  <si>
    <t>MaLbWT81P7Q</t>
  </si>
  <si>
    <t>CFWkO0BIhm8</t>
  </si>
  <si>
    <t>JvWTmXsCHJj</t>
  </si>
  <si>
    <t>Zgk5mud8930</t>
  </si>
  <si>
    <t>gsbHTvgB2ve</t>
  </si>
  <si>
    <t>zA5RHKBta1T</t>
  </si>
  <si>
    <t>a2xwzp8oVHw</t>
  </si>
  <si>
    <t>f2XAafiQede</t>
  </si>
  <si>
    <t>IGq57K2U3et</t>
  </si>
  <si>
    <t>sj4i9BflXvh</t>
  </si>
  <si>
    <t>NHWA_Denmark</t>
  </si>
  <si>
    <t>gxepwyvRxbV</t>
  </si>
  <si>
    <t>fAb4itKc1ZM</t>
  </si>
  <si>
    <t>rJSdwEyXgfh</t>
  </si>
  <si>
    <t>rgozN0dmixB</t>
  </si>
  <si>
    <t>ADfCJWnnU2O</t>
  </si>
  <si>
    <t>NHWA_Regulatory bodies</t>
  </si>
  <si>
    <t>Vlqc8aT5PAo</t>
  </si>
  <si>
    <t>HzK449Z1Mop</t>
  </si>
  <si>
    <t>sjuX99wm7IZ</t>
  </si>
  <si>
    <t>uNIgpV4l21k</t>
  </si>
  <si>
    <t>QUXnEwBKOCt</t>
  </si>
  <si>
    <t>qdxpgnOUeam</t>
  </si>
  <si>
    <t>Nq0rzj9aWEV</t>
  </si>
  <si>
    <t>g2hJEzpZfH1</t>
  </si>
  <si>
    <t>A7vlGlMOCQi</t>
  </si>
  <si>
    <t>AGWxyqGhgfk</t>
  </si>
  <si>
    <t>qV0jUJzFUER</t>
  </si>
  <si>
    <t>zexkIIZrZ3B</t>
  </si>
  <si>
    <t>Y8Hqecy92p5</t>
  </si>
  <si>
    <t>NHWA_Peru</t>
  </si>
  <si>
    <t>MYvkD09xyeq</t>
  </si>
  <si>
    <t>NHWA_55-64 yrs</t>
  </si>
  <si>
    <t>jIuMMPDV6by</t>
  </si>
  <si>
    <t>JPBLCDK3H2x</t>
  </si>
  <si>
    <t>A8ZYkf5BTQ1</t>
  </si>
  <si>
    <t>dyBI6HTR04N</t>
  </si>
  <si>
    <t>efCfb5edDjv</t>
  </si>
  <si>
    <t>kPgF27h5Zao</t>
  </si>
  <si>
    <t>Other country</t>
  </si>
  <si>
    <t>RsBAd46LBnm</t>
  </si>
  <si>
    <t>b6rUObqK3w6</t>
  </si>
  <si>
    <t>KvI6UnlCWE8</t>
  </si>
  <si>
    <t>hsNootK2YBV</t>
  </si>
  <si>
    <t>Lpvf0YxPz6h</t>
  </si>
  <si>
    <t>slhvGcmFwtM</t>
  </si>
  <si>
    <t>IttDSHJE3tY</t>
  </si>
  <si>
    <t>SZ3nIBbJDHd</t>
  </si>
  <si>
    <t>XbTx2aGNiKd</t>
  </si>
  <si>
    <t>LkiHwqqYnxV</t>
  </si>
  <si>
    <t>IMqululFzhP</t>
  </si>
  <si>
    <t>NHWA_Public</t>
  </si>
  <si>
    <t>cEeWRyOhOqP</t>
  </si>
  <si>
    <t>Swaziland</t>
  </si>
  <si>
    <t>tWMp2gMdZVY</t>
  </si>
  <si>
    <t>StFfGxHbuDF</t>
  </si>
  <si>
    <t>JMWzvzwgToC</t>
  </si>
  <si>
    <t>jfXGOQwsmKq</t>
  </si>
  <si>
    <t>QhZPfMYBla6</t>
  </si>
  <si>
    <t>CduVOiDWxlt</t>
  </si>
  <si>
    <t>GKkncWAOs8H</t>
  </si>
  <si>
    <t>enrjtKkx6PG</t>
  </si>
  <si>
    <t>uNJCzPnnWNW</t>
  </si>
  <si>
    <t>KioZypAqUxc</t>
  </si>
  <si>
    <t>aoq4jeGV5NM</t>
  </si>
  <si>
    <t>Uubd1dIoT4W</t>
  </si>
  <si>
    <t>LBtaidI5G2z</t>
  </si>
  <si>
    <t>npSh7oFwczs</t>
  </si>
  <si>
    <t>q4n8NzDkE7D</t>
  </si>
  <si>
    <t>B8UngZ8uwD2</t>
  </si>
  <si>
    <t>DOa51SvSShy</t>
  </si>
  <si>
    <t>LE4fsk3RYza</t>
  </si>
  <si>
    <t>XW4cMFJ3IPd</t>
  </si>
  <si>
    <t>Z0aVan7vD82</t>
  </si>
  <si>
    <t>pqnXfUagaiY</t>
  </si>
  <si>
    <t>VjdgVLwPWfZ</t>
  </si>
  <si>
    <t>nHiJwDVwoBi</t>
  </si>
  <si>
    <t>RdP4lkM83cM</t>
  </si>
  <si>
    <t>LRoVMRyVmrE</t>
  </si>
  <si>
    <t>JgcDpU82eRk</t>
  </si>
  <si>
    <t>drJDZnHzeBH</t>
  </si>
  <si>
    <t>NHWA_Practising</t>
  </si>
  <si>
    <t>x01fgjhSf20</t>
  </si>
  <si>
    <t>NHWA_Romania</t>
  </si>
  <si>
    <t>S8oIZdNn50G</t>
  </si>
  <si>
    <t>NHWA_Bosnia and Herzegovina</t>
  </si>
  <si>
    <t>XTvbzm2HwCZ</t>
  </si>
  <si>
    <t>NHWA_National Born</t>
  </si>
  <si>
    <t>EugP2KVsM7Q</t>
  </si>
  <si>
    <t>LPbH3n77lxu</t>
  </si>
  <si>
    <t>SlA9m2ZX9XS</t>
  </si>
  <si>
    <t>mQOrGsSPzBX</t>
  </si>
  <si>
    <t>YDDLRoVNxAB</t>
  </si>
  <si>
    <t>wcnRf5LJrnK</t>
  </si>
  <si>
    <t>NHWA_Other Ministries</t>
  </si>
  <si>
    <t>hC2N9T8F5JD</t>
  </si>
  <si>
    <t>NHWA_National Statistical Office</t>
  </si>
  <si>
    <t>fJBWZdiQ1Vj</t>
  </si>
  <si>
    <t>NHWA_HP.3</t>
  </si>
  <si>
    <t>St1b2AfFxLb</t>
  </si>
  <si>
    <t>s5mo8EjeKiY</t>
  </si>
  <si>
    <t>NHWA_Regional HRH Observatory</t>
  </si>
  <si>
    <t>YuLaFfZxTwJ</t>
  </si>
  <si>
    <t>L3f8EEO2QTn</t>
  </si>
  <si>
    <t>Mv3kaUwZXRq</t>
  </si>
  <si>
    <t>CaEJOAbJqM8</t>
  </si>
  <si>
    <t>NHWA_United Arab Emirates</t>
  </si>
  <si>
    <t>tsd2otYofQa</t>
  </si>
  <si>
    <t>zg6B0qb5NY3</t>
  </si>
  <si>
    <t>RRV32wU5Sk1</t>
  </si>
  <si>
    <t>X2GCXVmZeEF</t>
  </si>
  <si>
    <t>POUZYADWUp1</t>
  </si>
  <si>
    <t>aLiNAjoAsDt</t>
  </si>
  <si>
    <t>zdnpGy5G70E</t>
  </si>
  <si>
    <t>NHWA_Cameroon</t>
  </si>
  <si>
    <t>EhXjWmnNPjO</t>
  </si>
  <si>
    <t>LddbYuuaWf7</t>
  </si>
  <si>
    <t>rJ2dfIqC23R</t>
  </si>
  <si>
    <t>K3EI0GwfkG8</t>
  </si>
  <si>
    <t>ESi2uY4Gqn1</t>
  </si>
  <si>
    <t>UTDBwK73RlG</t>
  </si>
  <si>
    <t>TCVfWydCsa4</t>
  </si>
  <si>
    <t>NHWA_HP.6</t>
  </si>
  <si>
    <t>SbearYuCfX5</t>
  </si>
  <si>
    <t>NHWA_HP.5</t>
  </si>
  <si>
    <t>dAREsnanSp5</t>
  </si>
  <si>
    <t>GkT2M3jxh7F</t>
  </si>
  <si>
    <t>NojSG8rZDfq</t>
  </si>
  <si>
    <t>ibxHVF1IOea</t>
  </si>
  <si>
    <t>iHzbU9M01XV</t>
  </si>
  <si>
    <t>EPjTph0oE8r</t>
  </si>
  <si>
    <t>GVeTUYRwWNF</t>
  </si>
  <si>
    <t>xsXII0TZ5TD</t>
  </si>
  <si>
    <t>QUUTx1RNwpi</t>
  </si>
  <si>
    <t>F59E3s3oEOr</t>
  </si>
  <si>
    <t>Czech Republic</t>
  </si>
  <si>
    <t>bj9TvyIDtwi</t>
  </si>
  <si>
    <t>NHWA_Academia</t>
  </si>
  <si>
    <t>HP50SIF4Fby</t>
  </si>
  <si>
    <t>NHWA_Botswana</t>
  </si>
  <si>
    <t>ix4kFHxwYTd</t>
  </si>
  <si>
    <t>XxT1SCRuVDD</t>
  </si>
  <si>
    <t>BkdpZQISAQE</t>
  </si>
  <si>
    <t>Kh9ikyodKnN</t>
  </si>
  <si>
    <t>feoDuRjZweV</t>
  </si>
  <si>
    <t>IArireTHAtu</t>
  </si>
  <si>
    <t>Vy4zROU78hr</t>
  </si>
  <si>
    <t>NHWA_HP.4</t>
  </si>
  <si>
    <t>z5MSkYMyUDA</t>
  </si>
  <si>
    <t>gvFoQrCkLc2</t>
  </si>
  <si>
    <t>cMLHJtYTW40</t>
  </si>
  <si>
    <t>NHWA_35-44 yrs</t>
  </si>
  <si>
    <t>blA5KNE6nZO</t>
  </si>
  <si>
    <t>rEUC186wftQ</t>
  </si>
  <si>
    <t>NHWA_Professional association</t>
  </si>
  <si>
    <t>mVxpfBydPB7</t>
  </si>
  <si>
    <t>uBsAlWtPLFK</t>
  </si>
  <si>
    <t>NHWA_Foreign Born</t>
  </si>
  <si>
    <t>vwj0hgJQQ8O</t>
  </si>
  <si>
    <t>eWjpUQpzWKX</t>
  </si>
  <si>
    <t>NHWA_National HRH Observatory</t>
  </si>
  <si>
    <t>lh9mjPVQgUs</t>
  </si>
  <si>
    <t>hIrci8ms28E</t>
  </si>
  <si>
    <t>i14E8ggjzvt</t>
  </si>
  <si>
    <t>LvGn3KFEzvA</t>
  </si>
  <si>
    <t>NHWA_Ministry of Health</t>
  </si>
  <si>
    <t>RJERO5G7Od7</t>
  </si>
  <si>
    <t>ES9xDNLOKtZ</t>
  </si>
  <si>
    <t>xcotqxKxwlL</t>
  </si>
  <si>
    <t>NHWA_Licensed to practise</t>
  </si>
  <si>
    <t>gb8YWtxeYVR</t>
  </si>
  <si>
    <t>hPJQaP7PdYq</t>
  </si>
  <si>
    <t>NHWA_Georgia</t>
  </si>
  <si>
    <t>ZqdYTyLLuyL</t>
  </si>
  <si>
    <t>k8RfzK41pD4</t>
  </si>
  <si>
    <t>wlPajJhqkui</t>
  </si>
  <si>
    <t>NHWA_Democratic People's Republic of Korea</t>
  </si>
  <si>
    <t>n1ptipI0iZU</t>
  </si>
  <si>
    <t>ZmHQN5npDGX</t>
  </si>
  <si>
    <t>sL6GUzUS18c</t>
  </si>
  <si>
    <t>rIchxlzx0E0</t>
  </si>
  <si>
    <t>yYCFsDkV7gN</t>
  </si>
  <si>
    <t>p3raMKTiHsj</t>
  </si>
  <si>
    <t>NHWA_HP.1</t>
  </si>
  <si>
    <t>MFwYpsgHToP</t>
  </si>
  <si>
    <t>The former Yugoslav republic of Macedonia</t>
  </si>
  <si>
    <t>H8DnO52iMD9</t>
  </si>
  <si>
    <t>CqGT5VjDx2p</t>
  </si>
  <si>
    <t>UKbfaRlqkpY</t>
  </si>
  <si>
    <t>NHWA_Private for profit</t>
  </si>
  <si>
    <t>unqbIiA0uir</t>
  </si>
  <si>
    <t>NHWA_25-34 yrs</t>
  </si>
  <si>
    <t>QdpBLugMtqQ</t>
  </si>
  <si>
    <t>Ot71GbygcHf</t>
  </si>
  <si>
    <t>IzLrdmSQGZs</t>
  </si>
  <si>
    <t>NHWA_Zimbabwe</t>
  </si>
  <si>
    <t>Wl6fGTpQ2aN</t>
  </si>
  <si>
    <t>NHWA_Niger</t>
  </si>
  <si>
    <t>JRUk55kvbrE</t>
  </si>
  <si>
    <t>Jx6oc5hMVvO</t>
  </si>
  <si>
    <t>fPDuFoFWUr3</t>
  </si>
  <si>
    <t>EDPtZbCSShb</t>
  </si>
  <si>
    <t>GSHgapGzSnl</t>
  </si>
  <si>
    <t>NHWA_Foreign Trained</t>
  </si>
  <si>
    <t>BE32i8A9IOr</t>
  </si>
  <si>
    <t>VOFBd8mUdSi</t>
  </si>
  <si>
    <t>lcB0UtS4nuB</t>
  </si>
  <si>
    <t>NHWA_International organisations</t>
  </si>
  <si>
    <t>HdwPlhpIWce</t>
  </si>
  <si>
    <t>ZyDNe6r8Rcu</t>
  </si>
  <si>
    <t>ANELZaDsI6L</t>
  </si>
  <si>
    <t>GC5rlUksCqm</t>
  </si>
  <si>
    <t>P5jMO9Y0SRn</t>
  </si>
  <si>
    <t>NHWA_OECD/Eurostat/WHO-EURO Questionnaire</t>
  </si>
  <si>
    <t>F3kCvhpDnMM</t>
  </si>
  <si>
    <t>JrSwky5tYzt</t>
  </si>
  <si>
    <t>xIJxneZjiWm</t>
  </si>
  <si>
    <t>H9TZE490EpE</t>
  </si>
  <si>
    <t>HankECMMB6D</t>
  </si>
  <si>
    <t>btcWCYP4hid</t>
  </si>
  <si>
    <t>cxRqR2lVtM7</t>
  </si>
  <si>
    <t>Ak4QGxirDXg</t>
  </si>
  <si>
    <t>xl2h6v1N72r</t>
  </si>
  <si>
    <t>kYO6lFqgkUO</t>
  </si>
  <si>
    <t>MXfWGD11wLh</t>
  </si>
  <si>
    <t>NHWA_Ministry of Labour</t>
  </si>
  <si>
    <t>pbip5m1yf5Y</t>
  </si>
  <si>
    <t>Kr3g14QtHqR</t>
  </si>
  <si>
    <t>Xr12mI7VPn3</t>
  </si>
  <si>
    <t>VPShWMVpQkb</t>
  </si>
  <si>
    <t>NHWA_Professionally active</t>
  </si>
  <si>
    <t>z8JPjc7MYwc</t>
  </si>
  <si>
    <t>rdiq6QPpJC7</t>
  </si>
  <si>
    <t>J1xdPkLQqgn</t>
  </si>
  <si>
    <t>N3nYJ6ScaYx</t>
  </si>
  <si>
    <t>NHWA_Private not for profit</t>
  </si>
  <si>
    <t>oDBd4Mj0Oc2</t>
  </si>
  <si>
    <t>w5pFdpuCUW7</t>
  </si>
  <si>
    <t>ROyKFEvDgAp</t>
  </si>
  <si>
    <t>B3fcwYE45w6</t>
  </si>
  <si>
    <t>NHWA_Burundi</t>
  </si>
  <si>
    <t>V5rMEsxYhaF</t>
  </si>
  <si>
    <t>c9WexKHjrHc</t>
  </si>
  <si>
    <t>NHWA_Tunisia</t>
  </si>
  <si>
    <t>qfXgWkacWGi</t>
  </si>
  <si>
    <t>MSX2ncxe0gF</t>
  </si>
  <si>
    <t>jhV8D0Dvbvz</t>
  </si>
  <si>
    <t>xgbBSeyiDWp</t>
  </si>
  <si>
    <t>NHWA_Other databases</t>
  </si>
  <si>
    <t>aeEH9WsPkWk</t>
  </si>
  <si>
    <t>ysEbNJwwJUO</t>
  </si>
  <si>
    <t>DyPeahMx1ww</t>
  </si>
  <si>
    <t>NHWA_HP.2</t>
  </si>
  <si>
    <t>GSwM6L4ZPsB</t>
  </si>
  <si>
    <t>NHWA_Singapore</t>
  </si>
  <si>
    <t>IhnQTXo2sCi</t>
  </si>
  <si>
    <t>NHWA_WHO databases</t>
  </si>
  <si>
    <t>HvDcrobmiCy</t>
  </si>
  <si>
    <t>ZO5braqROk6</t>
  </si>
  <si>
    <t>sHcFoPbjSrP</t>
  </si>
  <si>
    <t>sJuInXfi09r</t>
  </si>
  <si>
    <t>United Kingdom of Great Britain and Northern Ireland</t>
  </si>
  <si>
    <t>dplV0gzW0ea</t>
  </si>
  <si>
    <t>poDz4wDp6J0</t>
  </si>
  <si>
    <t>DNEZnY8mN9a</t>
  </si>
  <si>
    <t>BKNhBq1RiwZ</t>
  </si>
  <si>
    <t>y99mLrfSDOg</t>
  </si>
  <si>
    <t>zOt4KjY6v7C</t>
  </si>
  <si>
    <t>WtrglwVLwRf</t>
  </si>
  <si>
    <t>Y1v6mwcswYO</t>
  </si>
  <si>
    <t>Exg37zi5bC6</t>
  </si>
  <si>
    <t>dkORIS1sEMv</t>
  </si>
  <si>
    <t>JNRH0Kptomm</t>
  </si>
  <si>
    <t>categoryOptions</t>
  </si>
  <si>
    <t>jBJbfbVjszi</t>
  </si>
  <si>
    <t>vC7IrqyGFKF</t>
  </si>
  <si>
    <t>E3tKGZMq4Tn</t>
  </si>
  <si>
    <t>tVFw2UJiuvo</t>
  </si>
  <si>
    <t>FxGf8jMM8D1</t>
  </si>
  <si>
    <t>HP.2</t>
  </si>
  <si>
    <t>SGeK38mtNgA</t>
  </si>
  <si>
    <t>HP.1</t>
  </si>
  <si>
    <t>NgSatqCq1hB</t>
  </si>
  <si>
    <t>sAiWHWYnsk1</t>
  </si>
  <si>
    <t>pDOTS19LDs1</t>
  </si>
  <si>
    <t>EnJ3dnowitV</t>
  </si>
  <si>
    <t>lBwtsiLb6w6</t>
  </si>
  <si>
    <t>I5Fl6OAe8n6</t>
  </si>
  <si>
    <t>HP.3</t>
  </si>
  <si>
    <t>jHYuGEGVgTQ</t>
  </si>
  <si>
    <t>NzGbnoHVMaF</t>
  </si>
  <si>
    <t>uynThwppKeS</t>
  </si>
  <si>
    <t>oy9zJeCRcHk</t>
  </si>
  <si>
    <t>MHYeBrf0izN</t>
  </si>
  <si>
    <t>lWJJnkPwmnJ</t>
  </si>
  <si>
    <t>CPiewpRETZ2</t>
  </si>
  <si>
    <t>WHO databases</t>
  </si>
  <si>
    <t>n28aEFrTuRE</t>
  </si>
  <si>
    <t>National HRH Observatory</t>
  </si>
  <si>
    <t>x1Ph1zvWDtl</t>
  </si>
  <si>
    <t>SZ4eyjPLeyA</t>
  </si>
  <si>
    <t>ZzJzGAncRcN</t>
  </si>
  <si>
    <t>ddCUz3SshxU</t>
  </si>
  <si>
    <t>ldnUHxE7mb1</t>
  </si>
  <si>
    <t>R57TSpcjbOf</t>
  </si>
  <si>
    <t>Vhd5ir4RuJW</t>
  </si>
  <si>
    <t>National Statistical Office</t>
  </si>
  <si>
    <t>eGtL8nwtSKq</t>
  </si>
  <si>
    <t>EkG2Du5D5qU</t>
  </si>
  <si>
    <t>UygxXF1MN03</t>
  </si>
  <si>
    <t>ceEkHibtVb7</t>
  </si>
  <si>
    <t>T7bTbB8YvsQ</t>
  </si>
  <si>
    <t>Academia</t>
  </si>
  <si>
    <t>ee1Hn2wJnM0</t>
  </si>
  <si>
    <t>CItSIKE9O9w</t>
  </si>
  <si>
    <t>Professional association</t>
  </si>
  <si>
    <t>A3k9S8n5UDB</t>
  </si>
  <si>
    <t>dQY65eVM9jB</t>
  </si>
  <si>
    <t>phAahTmP3AP</t>
  </si>
  <si>
    <t>T1or0EcEX2V</t>
  </si>
  <si>
    <t>DUM8AqRoBQh</t>
  </si>
  <si>
    <t>f0djIPxZ9VG</t>
  </si>
  <si>
    <t>qwrS0zi07SD</t>
  </si>
  <si>
    <t>wqVNgMM4Qre</t>
  </si>
  <si>
    <t>k3mk13WP4nI</t>
  </si>
  <si>
    <t>tk8INObuVAv</t>
  </si>
  <si>
    <t>vD8z84b3gTt</t>
  </si>
  <si>
    <t>rzA9f0pqcz8</t>
  </si>
  <si>
    <t>Professionally active</t>
  </si>
  <si>
    <t>r6GyNE6sV58</t>
  </si>
  <si>
    <t>HdhmoGCamcH</t>
  </si>
  <si>
    <t>qmsg1OVBqif</t>
  </si>
  <si>
    <t>vwjIQ9qMI2Y</t>
  </si>
  <si>
    <t>HP.5</t>
  </si>
  <si>
    <t>h4ujJZZaiUT</t>
  </si>
  <si>
    <t>uNU2FnjI5ep</t>
  </si>
  <si>
    <t>wxLx6U3Q7SB</t>
  </si>
  <si>
    <t>acxdJCjXxeg</t>
  </si>
  <si>
    <t>qzgmWRFev5J</t>
  </si>
  <si>
    <t>HP.6</t>
  </si>
  <si>
    <t>NkwjVn9Db6F</t>
  </si>
  <si>
    <t>O0M73CspI2e</t>
  </si>
  <si>
    <t>G4eIchdhtRG</t>
  </si>
  <si>
    <t>obXDv8Sm9yK</t>
  </si>
  <si>
    <t>TdZ7GfhQW7O</t>
  </si>
  <si>
    <t>fWtFTYJAf3L</t>
  </si>
  <si>
    <t>HQ8aBbw7Qwj</t>
  </si>
  <si>
    <t>CgSQbBinEGy</t>
  </si>
  <si>
    <t>G4ovW8h2nds</t>
  </si>
  <si>
    <t>jEX6APp1feK</t>
  </si>
  <si>
    <t>lMaO3449q0x</t>
  </si>
  <si>
    <t>Ur5rF3mTRba</t>
  </si>
  <si>
    <t>qsXtuKShMVv</t>
  </si>
  <si>
    <t>OIIQM13YogD</t>
  </si>
  <si>
    <t>Licensed to practise</t>
  </si>
  <si>
    <t>UKk45hewbPH</t>
  </si>
  <si>
    <t>UhjNBiB6vBb</t>
  </si>
  <si>
    <t>iuQxbRYPa0P</t>
  </si>
  <si>
    <t>xEMVRPiS0JA</t>
  </si>
  <si>
    <t>CFX91cqbCf3</t>
  </si>
  <si>
    <t>NvElx3aXZB2</t>
  </si>
  <si>
    <t>nqLIz7qfuLu</t>
  </si>
  <si>
    <t>dFzLXEnIAvJ</t>
  </si>
  <si>
    <t>SNMxQRPYRm7</t>
  </si>
  <si>
    <t>International organisations</t>
  </si>
  <si>
    <t>bMUYGz0AcDJ</t>
  </si>
  <si>
    <t>WWvCQd9sUdJ</t>
  </si>
  <si>
    <t>kIlOxz1hjqj</t>
  </si>
  <si>
    <t>fYmPwpZRDGZ</t>
  </si>
  <si>
    <t>zdQFHA4QUXY</t>
  </si>
  <si>
    <t>KnjRRcegyLC</t>
  </si>
  <si>
    <t>ZtOP8DdFvEK</t>
  </si>
  <si>
    <t>WzTgSXcUNIu</t>
  </si>
  <si>
    <t>voFQpOGhWOo</t>
  </si>
  <si>
    <t>umZdylabnsy</t>
  </si>
  <si>
    <t>kP4Lt8wdvd9</t>
  </si>
  <si>
    <t>abpFZulJ2EI</t>
  </si>
  <si>
    <t>YciopOYKXgG</t>
  </si>
  <si>
    <t>zuo1JfCpvs5</t>
  </si>
  <si>
    <t>B64oGrmyCqm</t>
  </si>
  <si>
    <t>AO3H3mBW9zD</t>
  </si>
  <si>
    <t>Ministry of Labour</t>
  </si>
  <si>
    <t>DwYskq1riRd</t>
  </si>
  <si>
    <t>IVHnxII1IQO</t>
  </si>
  <si>
    <t>kaSAsTJ5nxG</t>
  </si>
  <si>
    <t>QIZna0gogX9</t>
  </si>
  <si>
    <t>Gba6kTIsDrV</t>
  </si>
  <si>
    <t>Xfwd0faXfy0</t>
  </si>
  <si>
    <t>L0M2EGCKsU9</t>
  </si>
  <si>
    <t>JWXFdM78vKq</t>
  </si>
  <si>
    <t>KftyPFBsxl0</t>
  </si>
  <si>
    <t>OGPzE4S9Lsk</t>
  </si>
  <si>
    <t>Kkh2Axjhczd</t>
  </si>
  <si>
    <t>RV524jaqnsU</t>
  </si>
  <si>
    <t>S0YQ604HS5J</t>
  </si>
  <si>
    <t>m34Z24f4QiZ</t>
  </si>
  <si>
    <t>coCbn8mJeHv</t>
  </si>
  <si>
    <t>HP.4</t>
  </si>
  <si>
    <t>amPTixaGdsP</t>
  </si>
  <si>
    <t>gw5tmOlsYne</t>
  </si>
  <si>
    <t>ShycShOYDCy</t>
  </si>
  <si>
    <t>eQqPLgjcG16</t>
  </si>
  <si>
    <t>Q8jKkm7slV8</t>
  </si>
  <si>
    <t>ag1Rvst0gJY</t>
  </si>
  <si>
    <t>oQLYNHgyejZ</t>
  </si>
  <si>
    <t>SaqEwr5B5dd</t>
  </si>
  <si>
    <t>LYWv25b6Yfu</t>
  </si>
  <si>
    <t>tcfeFTkd9ke</t>
  </si>
  <si>
    <t>gczUvPeuphw</t>
  </si>
  <si>
    <t>FJi9JUh9a2f</t>
  </si>
  <si>
    <t>vFG4awbDk0I</t>
  </si>
  <si>
    <t>CKuOrdb6yS7</t>
  </si>
  <si>
    <t>fF22gizcjdT</t>
  </si>
  <si>
    <t>F9K5WaAkE1J</t>
  </si>
  <si>
    <t>kX1fshxhfjh</t>
  </si>
  <si>
    <t>bpXR1fc95s1</t>
  </si>
  <si>
    <t>KFiedG0hNrV</t>
  </si>
  <si>
    <t>DxJhkCTyPPs</t>
  </si>
  <si>
    <t>aDt6BJ6G5Vh</t>
  </si>
  <si>
    <t>YRiW2W5rC6r</t>
  </si>
  <si>
    <t>buui1dux4hq</t>
  </si>
  <si>
    <t>ObubT46sWpe</t>
  </si>
  <si>
    <t>eIv6kzcg3Dr</t>
  </si>
  <si>
    <t>yQRwk01YBir</t>
  </si>
  <si>
    <t>gbKjZ4XRb78</t>
  </si>
  <si>
    <t>LKw1KLdrCT5</t>
  </si>
  <si>
    <t>zjbkGM5ctDz</t>
  </si>
  <si>
    <t>aqX2gD5zuya</t>
  </si>
  <si>
    <t>sYXjZhknWsi</t>
  </si>
  <si>
    <t>jnGp1WtKfVG</t>
  </si>
  <si>
    <t>CHDhDdoiJ5N</t>
  </si>
  <si>
    <t>BUdUZqtYtwA</t>
  </si>
  <si>
    <t>Hs4A0KUqMDQ</t>
  </si>
  <si>
    <t>Fu9cXCCTPU5</t>
  </si>
  <si>
    <t>Ymv0b3wTer7</t>
  </si>
  <si>
    <t>eMX8cocS1J5</t>
  </si>
  <si>
    <t>F0fAfMzFdw1</t>
  </si>
  <si>
    <t>tg1pZyQC7LX</t>
  </si>
  <si>
    <t>AifBdH1NgTt</t>
  </si>
  <si>
    <t>q5LpwTe5bxM</t>
  </si>
  <si>
    <t>jKPxJmIXMfs</t>
  </si>
  <si>
    <t>MLv07cjdiAn</t>
  </si>
  <si>
    <t>dlPCzWe5TS1</t>
  </si>
  <si>
    <t>hs3mR0ZYVTY</t>
  </si>
  <si>
    <t>SDcGmbcJtvd</t>
  </si>
  <si>
    <t>Regulatory bodies</t>
  </si>
  <si>
    <t>tZftZ03eewT</t>
  </si>
  <si>
    <t>XpFH2HpqD2R</t>
  </si>
  <si>
    <t>JE2f9V3NIFL</t>
  </si>
  <si>
    <t>GmeuB9HTitg</t>
  </si>
  <si>
    <t>P3ZMsb6v3q7</t>
  </si>
  <si>
    <t>iNZRPMFtHSr</t>
  </si>
  <si>
    <t>Z0JOHO0MdAY</t>
  </si>
  <si>
    <t>Yv8K7LjMgnb</t>
  </si>
  <si>
    <t>Regional HRH Observatory</t>
  </si>
  <si>
    <t>AgjjsN3UJiv</t>
  </si>
  <si>
    <t>BjNwmw0Wupe</t>
  </si>
  <si>
    <t>GSIxPs4LKUL</t>
  </si>
  <si>
    <t>kUtWaQStS1j</t>
  </si>
  <si>
    <t>yHj8L43hqYg</t>
  </si>
  <si>
    <t>T27BlFRfKBB</t>
  </si>
  <si>
    <t>Other Ministries</t>
  </si>
  <si>
    <t>yHo3KEImkCI</t>
  </si>
  <si>
    <t>wZhrcYrffI6</t>
  </si>
  <si>
    <t>Other databases</t>
  </si>
  <si>
    <t>pXmA8xcLcd9</t>
  </si>
  <si>
    <t>KDi786sQNzG</t>
  </si>
  <si>
    <t>aujJ0EVKWer</t>
  </si>
  <si>
    <t>Vqp2vUC4Umk</t>
  </si>
  <si>
    <t>Q4I1zZfYXXc</t>
  </si>
  <si>
    <t>nHbFkXhZCiI</t>
  </si>
  <si>
    <t>L9GBwS8b1W8</t>
  </si>
  <si>
    <t>VTEggpkf7x1</t>
  </si>
  <si>
    <t>w2TnBNQfOW1</t>
  </si>
  <si>
    <t>PMdpXC27ktm</t>
  </si>
  <si>
    <t>DzAVo6vLt1C</t>
  </si>
  <si>
    <t>Hdnrh21ktLV</t>
  </si>
  <si>
    <t>T00uTw1c2eR</t>
  </si>
  <si>
    <t>O98HUAHsVSs</t>
  </si>
  <si>
    <t>Pls0CA73g64</t>
  </si>
  <si>
    <t>XoyjW58PrHc</t>
  </si>
  <si>
    <t>RrkLjvYsNeY</t>
  </si>
  <si>
    <t>huTJERDQhyZ</t>
  </si>
  <si>
    <t>o8MW4iuLC95</t>
  </si>
  <si>
    <t>MfTwOXVWKnT</t>
  </si>
  <si>
    <t>YVaNna0lZTZ</t>
  </si>
  <si>
    <t>Z9BFNSjihv8</t>
  </si>
  <si>
    <t>ZYAiR4JMIrY</t>
  </si>
  <si>
    <t>WsiM5PuBhjx</t>
  </si>
  <si>
    <t>Nzxhqg5ULhr</t>
  </si>
  <si>
    <t>kbm5mwVcVa6</t>
  </si>
  <si>
    <t>c6wdOD1RyCZ</t>
  </si>
  <si>
    <t>OB65zPWgdfd</t>
  </si>
  <si>
    <t>lLYmmETEDPj</t>
  </si>
  <si>
    <t>xIAzxxogcd0</t>
  </si>
  <si>
    <t>mOP4Sf5NwoV</t>
  </si>
  <si>
    <t>S7v70E5unBv</t>
  </si>
  <si>
    <t>Iq74LfX3CB5</t>
  </si>
  <si>
    <t>hMrvIBEugrP</t>
  </si>
  <si>
    <t>psQ1ZBzOwRm</t>
  </si>
  <si>
    <t>Tu5X9QCLC67</t>
  </si>
  <si>
    <t>GLcIfpRWf5S</t>
  </si>
  <si>
    <t>FN2u125TSGN</t>
  </si>
  <si>
    <t>jnszKG9z5Mz</t>
  </si>
  <si>
    <t>BhB6xxjMYIm</t>
  </si>
  <si>
    <t>DvUGMtSaXNy</t>
  </si>
  <si>
    <t>D7qUWJoK9kP</t>
  </si>
  <si>
    <t>Z0GzM9tZy61</t>
  </si>
  <si>
    <t>Mf7FROzUeWX</t>
  </si>
  <si>
    <t>ZY2zA1wfmQK</t>
  </si>
  <si>
    <t>Ez9t3jLrVkh</t>
  </si>
  <si>
    <t>f3uPMHGZ9T5</t>
  </si>
  <si>
    <t>bl1Lht78Dt0</t>
  </si>
  <si>
    <t>Y7fcspgsU43</t>
  </si>
  <si>
    <t>B6FjV9qz5Dk</t>
  </si>
  <si>
    <t>QdENg0i5gAN</t>
  </si>
  <si>
    <t>OECD/Eurostat/WHO-EURO Questionnaire</t>
  </si>
  <si>
    <t>uqXIaHP9Gxr</t>
  </si>
  <si>
    <t>i9cf6x7GPgh</t>
  </si>
  <si>
    <t>vC3F2X3f9qG</t>
  </si>
  <si>
    <t>me9uxUxkBIc</t>
  </si>
  <si>
    <t>l3cYAy0fRjl</t>
  </si>
  <si>
    <t>s21anKTNgkF</t>
  </si>
  <si>
    <t>MYxDpADjsxJ</t>
  </si>
  <si>
    <t>Q1qH1ilMK8i</t>
  </si>
  <si>
    <t>YrntQdj71b7</t>
  </si>
  <si>
    <t>cdilUoXzwL6</t>
  </si>
  <si>
    <t>Domestic</t>
  </si>
  <si>
    <t>organisationUnit</t>
  </si>
  <si>
    <t>Tr4i6jeDDqj</t>
  </si>
  <si>
    <t>Nrnay4JA8Ga</t>
  </si>
  <si>
    <t>Yg9QkNQk9p7</t>
  </si>
  <si>
    <t>s1mzBU7YOaZ</t>
  </si>
  <si>
    <t>PpjdOoVUc7k</t>
  </si>
  <si>
    <t>LAPR4Iu2NVS</t>
  </si>
  <si>
    <t>JIr15Xt3EQn</t>
  </si>
  <si>
    <t>true</t>
  </si>
  <si>
    <t>boolean</t>
  </si>
  <si>
    <t>☒</t>
  </si>
  <si>
    <t>false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</si>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</sst>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rial"/>
    </font>
    <font>
      <sz val="11"/>
      <color indexed="0"/>
      <name val="Calibri"/>
    </font>
    <font>
      <b/>
      <sz val="18"/>
      <name val="Arial"/>
    </font>
    <font>
      <sz val="10"/>
      <name val="Arial"/>
    </font>
    <font>
      <b/>
      <sz val="11"/>
      <color indexed="0"/>
      <name val="Calibri"/>
    </font>
    <font>
      <sz val="11"/>
      <name val="Calibri"/>
    </font>
    <font>
      <sz val="11"/>
      <name val="Arial"/>
    </font>
    <font>
      <sz val="16"/>
      <color indexed="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1" fillId="2" borderId="1" xfId="0" applyFont="1" applyFill="1" applyBorder="1" applyAlignment="1"/>
    <xf numFmtId="0" fontId="5" fillId="2" borderId="1" xfId="0" applyFont="1" applyFill="1" applyBorder="1" applyAlignment="1"/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/>
    <xf numFmtId="0" fontId="4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/>
    <xf numFmtId="0" fontId="4" fillId="3" borderId="2" xfId="0" applyFont="1" applyFill="1" applyBorder="1" applyAlignment="1">
      <alignment horizontal="center" vertical="center"/>
    </xf>
    <xf numFmtId="0" fontId="6" fillId="0" borderId="6" xfId="0" applyFont="1" applyBorder="1" applyAlignment="1"/>
    <xf numFmtId="0" fontId="4" fillId="3" borderId="3" xfId="0" applyFont="1" applyFill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6" fillId="0" borderId="7" xfId="0" applyFont="1" applyBorder="1" applyAlignment="1"/>
    <xf numFmtId="0" fontId="1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gregate_indicator02_03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nya"/>
      <sheetName val="Baringo"/>
      <sheetName val="Bomet"/>
      <sheetName val="Bungoma"/>
      <sheetName val="Elgeyo_marakwet"/>
      <sheetName val="Embu"/>
      <sheetName val="Garissa "/>
      <sheetName val="Homabay"/>
      <sheetName val="Isiolo"/>
      <sheetName val="Kajiado"/>
      <sheetName val="Kakamega"/>
      <sheetName val="Kericho"/>
      <sheetName val="Kiambu"/>
      <sheetName val="Kilifi"/>
      <sheetName val="Kirinyaga"/>
      <sheetName val="Kisii"/>
      <sheetName val="Kisumu"/>
      <sheetName val="Kitui"/>
      <sheetName val="Kwale"/>
      <sheetName val="Laikipia"/>
      <sheetName val="Lamu"/>
      <sheetName val="Machakos"/>
      <sheetName val="Makueni"/>
      <sheetName val="Mandera"/>
      <sheetName val="Marsabit"/>
      <sheetName val="Meru"/>
      <sheetName val="Migori"/>
      <sheetName val="Mombasa"/>
      <sheetName val="Muranga"/>
      <sheetName val="Nairobi"/>
      <sheetName val="Nakuru"/>
      <sheetName val="Nandi"/>
      <sheetName val="Narok"/>
      <sheetName val="Nyamira"/>
      <sheetName val="Nyandarua"/>
      <sheetName val="Nyeri"/>
      <sheetName val="Samburu"/>
      <sheetName val="Siaya"/>
      <sheetName val="Taita_Taveta"/>
      <sheetName val="Tana_River"/>
      <sheetName val="Tharaka_nithi"/>
      <sheetName val="Trans_nzoia"/>
      <sheetName val="Turkana"/>
      <sheetName val="Uashin_Gishu"/>
      <sheetName val="Vihiga"/>
      <sheetName val="Wajir"/>
      <sheetName val="MOH"/>
      <sheetName val="KNH"/>
      <sheetName val="KUTRH"/>
      <sheetName val="MTRH"/>
      <sheetName val="West_Pokot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78AF-EA2B-4EDB-A8F6-A771D1E3776D}">
  <sheetPr>
    <outlinePr summaryBelow="0" summaryRight="0"/>
    <pageSetUpPr autoPageBreaks="0"/>
  </sheetPr>
  <dimension ref="A1:BB264"/>
  <sheetViews>
    <sheetView topLeftCell="E1" zoomScaleSheetLayoutView="100" workbookViewId="0">
      <selection activeCell="M10" sqref="M10"/>
    </sheetView>
  </sheetViews>
  <sheetFormatPr defaultRowHeight="15" customHeight="1"/>
  <cols>
    <col min="1" max="1" width="9.125" customWidth="1"/>
    <col min="2" max="2" width="10.875" customWidth="1"/>
    <col min="3" max="3" width="67" customWidth="1"/>
    <col min="4" max="4" width="13.125" customWidth="1"/>
    <col min="5" max="5" width="10.375" customWidth="1"/>
    <col min="6" max="6" width="14.375" customWidth="1"/>
    <col min="7" max="7" width="12.125" customWidth="1"/>
    <col min="8" max="15" width="9.125" customWidth="1"/>
    <col min="16" max="16" width="12.625" customWidth="1"/>
    <col min="17" max="17" width="11.625" customWidth="1"/>
    <col min="18" max="18" width="16.25" customWidth="1"/>
    <col min="19" max="19" width="12" customWidth="1"/>
    <col min="20" max="20" width="9.625" customWidth="1"/>
    <col min="21" max="21" width="13.125" customWidth="1"/>
    <col min="22" max="22" width="18.375" customWidth="1"/>
    <col min="23" max="23" width="9.25" hidden="1" customWidth="1"/>
    <col min="24" max="24" width="5.375" hidden="1" customWidth="1"/>
    <col min="25" max="25" width="47.125" hidden="1" customWidth="1"/>
    <col min="26" max="26" width="15.125" hidden="1" customWidth="1"/>
    <col min="27" max="27" width="7.125" hidden="1" customWidth="1"/>
    <col min="28" max="28" width="8.75" hidden="1" customWidth="1"/>
    <col min="29" max="29" width="14.125" hidden="1" customWidth="1"/>
    <col min="30" max="30" width="5" hidden="1" customWidth="1"/>
    <col min="31" max="31" width="47.125" hidden="1" customWidth="1"/>
    <col min="32" max="33" width="2" hidden="1" customWidth="1"/>
    <col min="34" max="34" width="19.625" hidden="1" customWidth="1"/>
    <col min="35" max="54" width="9.125" customWidth="1"/>
    <col min="55" max="256" width="15" customWidth="1"/>
  </cols>
  <sheetData>
    <row r="1" spans="1:54" ht="14.25" customHeight="1">
      <c r="A1" s="1" t="s">
        <v>0</v>
      </c>
      <c r="B1" s="39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T1" s="3"/>
      <c r="U1" s="3"/>
      <c r="V1" s="4"/>
      <c r="X1" s="3"/>
      <c r="Y1" t="s">
        <v>2</v>
      </c>
      <c r="Z1" t="s">
        <v>3</v>
      </c>
      <c r="AA1" t="s">
        <v>4</v>
      </c>
      <c r="AB1" t="s">
        <v>5</v>
      </c>
    </row>
    <row r="2" spans="1:54" ht="14.25" customHeight="1">
      <c r="B2" s="39" t="s">
        <v>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T2" s="3"/>
      <c r="U2" s="3"/>
      <c r="W2" s="3" t="e">
        <f>VLOOKUP(W1,Y2:AB264,2,0)</f>
        <v>#N/A</v>
      </c>
      <c r="X2" s="3"/>
      <c r="Y2" t="s">
        <v>7</v>
      </c>
      <c r="Z2" t="s">
        <v>8</v>
      </c>
      <c r="AA2" t="s">
        <v>9</v>
      </c>
      <c r="AB2" t="s">
        <v>10</v>
      </c>
      <c r="AC2">
        <f t="shared" ref="AC2:AC5" si="0">--ISNUMBER(IFERROR(SEARCH($V$1,Y2,1),""))</f>
        <v>1</v>
      </c>
      <c r="AD2">
        <f t="shared" ref="AD2:AD5" si="1">IF(AC2=1,COUNTIF($AC2:AC$2,1),"")</f>
        <v>1</v>
      </c>
      <c r="AE2" t="str">
        <f t="shared" ref="AE2:AE5" si="2">IFERROR(INDEX($Y$2:$Y$253,MATCH(ROWS($AD2:AD$2),$AD$2:$AD$253,0)),"")</f>
        <v>Afghanistan</v>
      </c>
    </row>
    <row r="3" spans="1:54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"/>
      <c r="Y3" t="s">
        <v>11</v>
      </c>
      <c r="Z3" t="s">
        <v>12</v>
      </c>
      <c r="AA3" t="s">
        <v>13</v>
      </c>
      <c r="AB3" t="s">
        <v>14</v>
      </c>
      <c r="AC3">
        <f t="shared" si="0"/>
        <v>1</v>
      </c>
      <c r="AD3">
        <f t="shared" si="1"/>
        <v>2</v>
      </c>
      <c r="AE3" t="str">
        <f t="shared" si="2"/>
        <v>Albania</v>
      </c>
    </row>
    <row r="4" spans="1:54" ht="16.5" customHeight="1">
      <c r="B4" s="5" t="s">
        <v>15</v>
      </c>
      <c r="C4" s="6" t="str">
        <f>_HfVjCurKxh2</f>
        <v>Kenya</v>
      </c>
      <c r="F4" s="5" t="s">
        <v>16</v>
      </c>
      <c r="G4" s="7" t="str">
        <f>IFERROR(VLOOKUP(C4,Y2:AB253,4,0),"")</f>
        <v>AFR</v>
      </c>
      <c r="P4" s="5" t="s">
        <v>17</v>
      </c>
      <c r="Q4" s="8">
        <v>2023</v>
      </c>
      <c r="Y4" t="s">
        <v>18</v>
      </c>
      <c r="Z4" t="s">
        <v>19</v>
      </c>
      <c r="AA4" t="s">
        <v>20</v>
      </c>
      <c r="AB4" t="s">
        <v>21</v>
      </c>
      <c r="AC4">
        <f t="shared" si="0"/>
        <v>1</v>
      </c>
      <c r="AD4">
        <f t="shared" si="1"/>
        <v>3</v>
      </c>
      <c r="AE4" t="str">
        <f t="shared" si="2"/>
        <v>Algeria</v>
      </c>
    </row>
    <row r="5" spans="1:54" ht="14.25" customHeight="1">
      <c r="B5" s="2"/>
      <c r="C5" s="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Y5" t="s">
        <v>22</v>
      </c>
      <c r="Z5" t="s">
        <v>23</v>
      </c>
      <c r="AA5" t="s">
        <v>24</v>
      </c>
      <c r="AB5" t="s">
        <v>25</v>
      </c>
      <c r="AC5">
        <f t="shared" si="0"/>
        <v>1</v>
      </c>
      <c r="AD5">
        <f t="shared" si="1"/>
        <v>4</v>
      </c>
      <c r="AE5" t="str">
        <f t="shared" si="2"/>
        <v>American Samoa</v>
      </c>
    </row>
    <row r="6" spans="1:54" ht="25.5" customHeight="1">
      <c r="B6" s="34" t="s">
        <v>26</v>
      </c>
      <c r="C6" s="34" t="s">
        <v>27</v>
      </c>
      <c r="D6" s="34" t="s">
        <v>28</v>
      </c>
      <c r="E6" s="36" t="s">
        <v>29</v>
      </c>
      <c r="F6" s="37"/>
      <c r="G6" s="38"/>
      <c r="H6" s="36" t="s">
        <v>30</v>
      </c>
      <c r="I6" s="38"/>
      <c r="J6" s="36" t="s">
        <v>31</v>
      </c>
      <c r="K6" s="37"/>
      <c r="L6" s="37"/>
      <c r="M6" s="37"/>
      <c r="N6" s="37"/>
      <c r="O6" s="38"/>
      <c r="P6" s="36" t="s">
        <v>32</v>
      </c>
      <c r="Q6" s="38"/>
      <c r="R6" s="36" t="s">
        <v>33</v>
      </c>
      <c r="S6" s="37"/>
      <c r="T6" s="38"/>
      <c r="U6" s="36" t="s">
        <v>34</v>
      </c>
      <c r="V6" s="38"/>
      <c r="AB6" t="s">
        <v>35</v>
      </c>
      <c r="AC6" t="s">
        <v>36</v>
      </c>
      <c r="AD6" t="s">
        <v>37</v>
      </c>
      <c r="AE6" t="s">
        <v>14</v>
      </c>
      <c r="AF6">
        <f t="shared" ref="AF6:AF7" si="3">--ISNUMBER(IFERROR(SEARCH($V$1,AB6,1),""))</f>
        <v>1</v>
      </c>
      <c r="AG6">
        <f t="shared" ref="AG6:AG7" si="4">IF(AF6=1,COUNTIF($AC6:AC$2,1),"")</f>
        <v>4</v>
      </c>
      <c r="AH6" t="str">
        <f t="shared" ref="AH6:AH7" si="5">IFERROR(INDEX($Y$2:$Y$253,MATCH(ROWS($AD6:AD$2),$AD$2:$AD$253,0)),"")</f>
        <v>Anguilla</v>
      </c>
    </row>
    <row r="7" spans="1:54" ht="105" customHeight="1">
      <c r="B7" s="35"/>
      <c r="C7" s="35"/>
      <c r="D7" s="35"/>
      <c r="E7" s="10" t="s">
        <v>38</v>
      </c>
      <c r="F7" s="11" t="s">
        <v>39</v>
      </c>
      <c r="G7" s="11" t="s">
        <v>40</v>
      </c>
      <c r="H7" s="10" t="s">
        <v>41</v>
      </c>
      <c r="I7" s="10" t="s">
        <v>42</v>
      </c>
      <c r="J7" s="10" t="s">
        <v>43</v>
      </c>
      <c r="K7" s="10" t="s">
        <v>44</v>
      </c>
      <c r="L7" s="10" t="s">
        <v>45</v>
      </c>
      <c r="M7" s="10" t="s">
        <v>46</v>
      </c>
      <c r="N7" s="10" t="s">
        <v>47</v>
      </c>
      <c r="O7" s="10" t="s">
        <v>48</v>
      </c>
      <c r="P7" s="11" t="s">
        <v>49</v>
      </c>
      <c r="Q7" s="11" t="s">
        <v>50</v>
      </c>
      <c r="R7" s="11" t="s">
        <v>51</v>
      </c>
      <c r="S7" s="11" t="s">
        <v>52</v>
      </c>
      <c r="T7" s="11" t="s">
        <v>53</v>
      </c>
      <c r="U7" s="11" t="s">
        <v>49</v>
      </c>
      <c r="V7" s="11" t="s">
        <v>50</v>
      </c>
      <c r="AB7" t="s">
        <v>54</v>
      </c>
      <c r="AC7" t="s">
        <v>55</v>
      </c>
      <c r="AD7" t="s">
        <v>56</v>
      </c>
      <c r="AE7" t="s">
        <v>21</v>
      </c>
      <c r="AF7">
        <f t="shared" si="3"/>
        <v>1</v>
      </c>
      <c r="AG7">
        <f t="shared" si="4"/>
        <v>4</v>
      </c>
      <c r="AH7" t="str">
        <f t="shared" si="5"/>
        <v>Antigua and Barbuda</v>
      </c>
    </row>
    <row r="8" spans="1:54" ht="18" customHeight="1">
      <c r="A8" s="12"/>
      <c r="B8" s="13">
        <v>1</v>
      </c>
      <c r="C8" s="14" t="s">
        <v>57</v>
      </c>
      <c r="D8" s="15">
        <f t="shared" ref="D8:V8" si="6">IF(COUNT(D9,D10,D17)&gt;0,SUM(D9,D10,D17),NA())</f>
        <v>4667</v>
      </c>
      <c r="E8" s="15" t="e">
        <f t="shared" si="6"/>
        <v>#N/A</v>
      </c>
      <c r="F8" s="15" t="e">
        <f t="shared" si="6"/>
        <v>#N/A</v>
      </c>
      <c r="G8" s="15" t="e">
        <f t="shared" si="6"/>
        <v>#N/A</v>
      </c>
      <c r="H8" s="15">
        <f t="shared" si="6"/>
        <v>2232</v>
      </c>
      <c r="I8" s="15">
        <f t="shared" si="6"/>
        <v>1758</v>
      </c>
      <c r="J8" s="15">
        <f t="shared" si="6"/>
        <v>34</v>
      </c>
      <c r="K8" s="15">
        <f t="shared" si="6"/>
        <v>1226</v>
      </c>
      <c r="L8" s="15">
        <f t="shared" si="6"/>
        <v>1779</v>
      </c>
      <c r="M8" s="15">
        <f t="shared" si="6"/>
        <v>635</v>
      </c>
      <c r="N8" s="15">
        <f t="shared" si="6"/>
        <v>252</v>
      </c>
      <c r="O8" s="15">
        <f t="shared" si="6"/>
        <v>160</v>
      </c>
      <c r="P8" s="15" t="e">
        <f t="shared" si="6"/>
        <v>#N/A</v>
      </c>
      <c r="Q8" s="15">
        <f t="shared" si="6"/>
        <v>159</v>
      </c>
      <c r="R8" s="15" t="e">
        <f t="shared" si="6"/>
        <v>#N/A</v>
      </c>
      <c r="S8" s="15" t="e">
        <f t="shared" si="6"/>
        <v>#N/A</v>
      </c>
      <c r="T8" s="15" t="e">
        <f t="shared" si="6"/>
        <v>#N/A</v>
      </c>
      <c r="U8" s="15" t="e">
        <f t="shared" si="6"/>
        <v>#N/A</v>
      </c>
      <c r="V8" s="15" t="e">
        <f t="shared" si="6"/>
        <v>#N/A</v>
      </c>
      <c r="X8" s="12"/>
      <c r="Y8" s="12" t="s">
        <v>58</v>
      </c>
      <c r="Z8" s="12" t="s">
        <v>59</v>
      </c>
      <c r="AA8" s="12" t="s">
        <v>60</v>
      </c>
      <c r="AB8" s="12" t="s">
        <v>61</v>
      </c>
      <c r="AC8">
        <f t="shared" ref="AC8:AC65" si="7">--ISNUMBER(IFERROR(SEARCH($V$1,Y8,1),""))</f>
        <v>1</v>
      </c>
      <c r="AD8">
        <f t="shared" ref="AD8:AD65" si="8">IF(AC8=1,COUNTIF($AC8:AC$2,1),"")</f>
        <v>5</v>
      </c>
      <c r="AE8" t="str">
        <f t="shared" ref="AE8:AE65" si="9">IFERROR(INDEX($Y$2:$Y$253,MATCH(ROWS($AD8:AD$2),$AD$2:$AD$253,0)),"")</f>
        <v>Argentina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ht="18" customHeight="1">
      <c r="A9" s="12"/>
      <c r="B9" s="13">
        <v>1.1000000000000001</v>
      </c>
      <c r="C9" s="14" t="s">
        <v>62</v>
      </c>
      <c r="D9" s="13">
        <v>3015</v>
      </c>
      <c r="E9" s="13"/>
      <c r="F9" s="13"/>
      <c r="G9" s="13"/>
      <c r="H9" s="13">
        <v>2232</v>
      </c>
      <c r="I9" s="13">
        <v>1758</v>
      </c>
      <c r="J9" s="13">
        <v>23</v>
      </c>
      <c r="K9" s="13">
        <v>1176</v>
      </c>
      <c r="L9" s="13">
        <v>1319</v>
      </c>
      <c r="M9" s="13">
        <v>321</v>
      </c>
      <c r="N9" s="13">
        <v>114</v>
      </c>
      <c r="O9" s="13">
        <v>91</v>
      </c>
      <c r="P9" s="13"/>
      <c r="Q9" s="13">
        <v>159</v>
      </c>
      <c r="R9" s="13"/>
      <c r="S9" s="13"/>
      <c r="T9" s="13"/>
      <c r="U9" s="13"/>
      <c r="V9" s="13"/>
      <c r="X9" s="12"/>
      <c r="Y9" s="12" t="s">
        <v>63</v>
      </c>
      <c r="Z9" s="12" t="s">
        <v>64</v>
      </c>
      <c r="AA9" s="12" t="s">
        <v>65</v>
      </c>
      <c r="AB9" s="12" t="s">
        <v>61</v>
      </c>
      <c r="AC9">
        <f t="shared" si="7"/>
        <v>1</v>
      </c>
      <c r="AD9">
        <f t="shared" si="8"/>
        <v>6</v>
      </c>
      <c r="AE9" t="str">
        <f t="shared" si="9"/>
        <v>Armenia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18" customHeight="1">
      <c r="A10" s="12"/>
      <c r="B10" s="13">
        <v>1.2</v>
      </c>
      <c r="C10" s="14" t="s">
        <v>66</v>
      </c>
      <c r="D10" s="13">
        <v>1652</v>
      </c>
      <c r="E10" s="13"/>
      <c r="F10" s="13"/>
      <c r="G10" s="13"/>
      <c r="H10" s="13"/>
      <c r="I10" s="13"/>
      <c r="J10" s="13">
        <v>11</v>
      </c>
      <c r="K10" s="13">
        <v>50</v>
      </c>
      <c r="L10" s="13">
        <v>460</v>
      </c>
      <c r="M10" s="13">
        <v>314</v>
      </c>
      <c r="N10" s="13">
        <v>138</v>
      </c>
      <c r="O10" s="13">
        <v>69</v>
      </c>
      <c r="P10" s="13"/>
      <c r="Q10" s="13"/>
      <c r="R10" s="13"/>
      <c r="S10" s="13"/>
      <c r="T10" s="13"/>
      <c r="U10" s="13"/>
      <c r="V10" s="13"/>
      <c r="X10" s="12">
        <f t="shared" ref="X10:X27" ca="1" si="10">X11+1</f>
        <v>2025</v>
      </c>
      <c r="Y10" s="12" t="s">
        <v>67</v>
      </c>
      <c r="Z10" s="12" t="s">
        <v>68</v>
      </c>
      <c r="AA10" s="12" t="s">
        <v>69</v>
      </c>
      <c r="AB10" s="12" t="s">
        <v>61</v>
      </c>
      <c r="AC10">
        <f t="shared" si="7"/>
        <v>1</v>
      </c>
      <c r="AD10">
        <f t="shared" si="8"/>
        <v>7</v>
      </c>
      <c r="AE10" t="str">
        <f t="shared" si="9"/>
        <v>Aruba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ht="18" customHeight="1">
      <c r="A11" s="12"/>
      <c r="B11" s="13" t="s">
        <v>70</v>
      </c>
      <c r="C11" s="14" t="s">
        <v>71</v>
      </c>
      <c r="D11" s="13">
        <v>238</v>
      </c>
      <c r="E11" s="13"/>
      <c r="F11" s="13"/>
      <c r="G11" s="13"/>
      <c r="H11" s="13"/>
      <c r="I11" s="13"/>
      <c r="J11" s="13">
        <v>3</v>
      </c>
      <c r="K11" s="13">
        <v>31</v>
      </c>
      <c r="L11" s="13">
        <v>160</v>
      </c>
      <c r="M11" s="13">
        <v>64</v>
      </c>
      <c r="N11" s="13">
        <v>11</v>
      </c>
      <c r="O11" s="13">
        <v>16</v>
      </c>
      <c r="P11" s="13"/>
      <c r="Q11" s="13"/>
      <c r="R11" s="13"/>
      <c r="S11" s="13"/>
      <c r="T11" s="13"/>
      <c r="U11" s="13"/>
      <c r="V11" s="13"/>
      <c r="X11" s="12">
        <f t="shared" ca="1" si="10"/>
        <v>2024</v>
      </c>
      <c r="Y11" s="12" t="s">
        <v>72</v>
      </c>
      <c r="Z11" s="12" t="s">
        <v>73</v>
      </c>
      <c r="AA11" s="12" t="s">
        <v>74</v>
      </c>
      <c r="AB11" s="12" t="s">
        <v>14</v>
      </c>
      <c r="AC11">
        <f t="shared" si="7"/>
        <v>1</v>
      </c>
      <c r="AD11">
        <f t="shared" si="8"/>
        <v>8</v>
      </c>
      <c r="AE11" t="str">
        <f t="shared" si="9"/>
        <v>Australia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ht="18" customHeight="1">
      <c r="A12" s="12"/>
      <c r="B12" s="13" t="s">
        <v>75</v>
      </c>
      <c r="C12" s="14" t="s">
        <v>76</v>
      </c>
      <c r="D12" s="13">
        <v>296</v>
      </c>
      <c r="E12" s="13"/>
      <c r="F12" s="13"/>
      <c r="G12" s="13"/>
      <c r="H12" s="13"/>
      <c r="I12" s="13"/>
      <c r="J12" s="13">
        <v>2</v>
      </c>
      <c r="K12" s="13">
        <v>29</v>
      </c>
      <c r="L12" s="13">
        <v>138</v>
      </c>
      <c r="M12" s="13">
        <v>65</v>
      </c>
      <c r="N12" s="13">
        <v>29</v>
      </c>
      <c r="O12" s="13">
        <v>25</v>
      </c>
      <c r="P12" s="13"/>
      <c r="Q12" s="13"/>
      <c r="R12" s="13"/>
      <c r="S12" s="13"/>
      <c r="T12" s="13"/>
      <c r="U12" s="13"/>
      <c r="V12" s="13"/>
      <c r="X12" s="12">
        <f t="shared" ca="1" si="10"/>
        <v>2023</v>
      </c>
      <c r="Y12" s="12" t="s">
        <v>77</v>
      </c>
      <c r="Z12" s="12" t="s">
        <v>78</v>
      </c>
      <c r="AA12" s="12" t="s">
        <v>79</v>
      </c>
      <c r="AB12" s="12" t="s">
        <v>61</v>
      </c>
      <c r="AC12">
        <f t="shared" si="7"/>
        <v>1</v>
      </c>
      <c r="AD12">
        <f t="shared" si="8"/>
        <v>9</v>
      </c>
      <c r="AE12" t="str">
        <f t="shared" si="9"/>
        <v>Austria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ht="18" customHeight="1">
      <c r="A13" s="12"/>
      <c r="B13" s="13" t="s">
        <v>80</v>
      </c>
      <c r="C13" s="14" t="s">
        <v>81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X13" s="12">
        <f t="shared" ca="1" si="10"/>
        <v>2022</v>
      </c>
      <c r="Y13" s="12" t="s">
        <v>82</v>
      </c>
      <c r="Z13" s="12" t="s">
        <v>83</v>
      </c>
      <c r="AA13" s="12" t="s">
        <v>84</v>
      </c>
      <c r="AB13" s="12" t="s">
        <v>25</v>
      </c>
      <c r="AC13">
        <f t="shared" si="7"/>
        <v>1</v>
      </c>
      <c r="AD13">
        <f t="shared" si="8"/>
        <v>10</v>
      </c>
      <c r="AE13" t="str">
        <f t="shared" si="9"/>
        <v>Azerbaijan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ht="18" customHeight="1">
      <c r="A14" s="12"/>
      <c r="B14" s="13" t="s">
        <v>85</v>
      </c>
      <c r="C14" s="14" t="s">
        <v>86</v>
      </c>
      <c r="D14" s="13">
        <v>403</v>
      </c>
      <c r="E14" s="13"/>
      <c r="F14" s="13"/>
      <c r="G14" s="13"/>
      <c r="H14" s="13"/>
      <c r="I14" s="13"/>
      <c r="J14" s="13">
        <v>5</v>
      </c>
      <c r="K14" s="13">
        <v>12</v>
      </c>
      <c r="L14" s="13">
        <v>142</v>
      </c>
      <c r="M14" s="13">
        <v>82</v>
      </c>
      <c r="N14" s="13">
        <v>40</v>
      </c>
      <c r="O14" s="13">
        <v>7</v>
      </c>
      <c r="P14" s="13"/>
      <c r="Q14" s="13"/>
      <c r="R14" s="13"/>
      <c r="S14" s="13"/>
      <c r="T14" s="13"/>
      <c r="U14" s="13"/>
      <c r="V14" s="13"/>
      <c r="X14" s="12">
        <f t="shared" ca="1" si="10"/>
        <v>2021</v>
      </c>
      <c r="Y14" s="12" t="s">
        <v>87</v>
      </c>
      <c r="Z14" s="12" t="s">
        <v>88</v>
      </c>
      <c r="AA14" s="12" t="s">
        <v>89</v>
      </c>
      <c r="AB14" s="12" t="s">
        <v>14</v>
      </c>
      <c r="AC14">
        <f t="shared" si="7"/>
        <v>1</v>
      </c>
      <c r="AD14">
        <f t="shared" si="8"/>
        <v>11</v>
      </c>
      <c r="AE14" t="str">
        <f t="shared" si="9"/>
        <v>Bahamas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ht="18" customHeight="1">
      <c r="A15" s="12"/>
      <c r="B15" s="13" t="s">
        <v>90</v>
      </c>
      <c r="C15" s="14" t="s">
        <v>91</v>
      </c>
      <c r="D15" s="13">
        <v>479</v>
      </c>
      <c r="E15" s="13"/>
      <c r="F15" s="13"/>
      <c r="G15" s="13"/>
      <c r="H15" s="13"/>
      <c r="I15" s="13"/>
      <c r="J15" s="13">
        <v>1</v>
      </c>
      <c r="K15" s="13">
        <v>86</v>
      </c>
      <c r="L15" s="13">
        <v>261</v>
      </c>
      <c r="M15" s="13">
        <v>115</v>
      </c>
      <c r="N15" s="13">
        <v>50</v>
      </c>
      <c r="O15" s="13">
        <v>18</v>
      </c>
      <c r="P15" s="13"/>
      <c r="Q15" s="13"/>
      <c r="R15" s="13"/>
      <c r="S15" s="13"/>
      <c r="T15" s="13"/>
      <c r="U15" s="13"/>
      <c r="V15" s="13"/>
      <c r="X15" s="12">
        <f t="shared" ca="1" si="10"/>
        <v>2020</v>
      </c>
      <c r="Y15" s="12" t="s">
        <v>92</v>
      </c>
      <c r="Z15" s="12" t="s">
        <v>93</v>
      </c>
      <c r="AA15" s="12" t="s">
        <v>94</v>
      </c>
      <c r="AB15" s="12" t="s">
        <v>14</v>
      </c>
      <c r="AC15">
        <f t="shared" si="7"/>
        <v>1</v>
      </c>
      <c r="AD15">
        <f t="shared" si="8"/>
        <v>12</v>
      </c>
      <c r="AE15" t="str">
        <f t="shared" si="9"/>
        <v>Bahrain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ht="18" customHeight="1">
      <c r="A16" s="12"/>
      <c r="B16" s="13" t="s">
        <v>95</v>
      </c>
      <c r="C16" s="14" t="s">
        <v>96</v>
      </c>
      <c r="D16" s="13">
        <v>129</v>
      </c>
      <c r="E16" s="13"/>
      <c r="F16" s="13"/>
      <c r="G16" s="13"/>
      <c r="H16" s="13"/>
      <c r="I16" s="13"/>
      <c r="J16" s="13">
        <v>2</v>
      </c>
      <c r="K16" s="13">
        <v>24</v>
      </c>
      <c r="L16" s="13">
        <v>76</v>
      </c>
      <c r="M16" s="13">
        <v>24</v>
      </c>
      <c r="N16" s="13">
        <v>4</v>
      </c>
      <c r="O16" s="13">
        <v>3</v>
      </c>
      <c r="P16" s="13"/>
      <c r="Q16" s="13">
        <v>4</v>
      </c>
      <c r="R16" s="13"/>
      <c r="S16" s="13"/>
      <c r="T16" s="13"/>
      <c r="U16" s="13"/>
      <c r="V16" s="13"/>
      <c r="X16" s="12">
        <f t="shared" ca="1" si="10"/>
        <v>2019</v>
      </c>
      <c r="Y16" s="12" t="s">
        <v>97</v>
      </c>
      <c r="Z16" s="12" t="s">
        <v>98</v>
      </c>
      <c r="AA16" s="12" t="s">
        <v>99</v>
      </c>
      <c r="AB16" s="12" t="s">
        <v>61</v>
      </c>
      <c r="AC16">
        <f t="shared" si="7"/>
        <v>1</v>
      </c>
      <c r="AD16">
        <f t="shared" si="8"/>
        <v>13</v>
      </c>
      <c r="AE16" t="str">
        <f t="shared" si="9"/>
        <v>Bangladesh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ht="18" customHeight="1">
      <c r="A17" s="12"/>
      <c r="B17" s="13">
        <v>1.3</v>
      </c>
      <c r="C17" s="14" t="s">
        <v>100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X17" s="12">
        <f t="shared" ca="1" si="10"/>
        <v>2018</v>
      </c>
      <c r="Y17" s="12" t="s">
        <v>101</v>
      </c>
      <c r="Z17" s="12" t="s">
        <v>102</v>
      </c>
      <c r="AA17" s="12" t="s">
        <v>103</v>
      </c>
      <c r="AB17" s="12" t="s">
        <v>10</v>
      </c>
      <c r="AC17">
        <f t="shared" si="7"/>
        <v>1</v>
      </c>
      <c r="AD17">
        <f t="shared" si="8"/>
        <v>14</v>
      </c>
      <c r="AE17" t="str">
        <f t="shared" si="9"/>
        <v>Barbados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t="18" customHeight="1">
      <c r="A18" s="12"/>
      <c r="B18" s="13">
        <v>2</v>
      </c>
      <c r="C18" s="14" t="s">
        <v>104</v>
      </c>
      <c r="D18" s="15">
        <f t="shared" ref="D18:V18" si="11">IF(COUNT(D19,D20,D21)&gt;0,SUM(D19,D20,D21),NA())</f>
        <v>34552</v>
      </c>
      <c r="E18" s="15" t="e">
        <f t="shared" si="11"/>
        <v>#N/A</v>
      </c>
      <c r="F18" s="15" t="e">
        <f t="shared" si="11"/>
        <v>#N/A</v>
      </c>
      <c r="G18" s="15" t="e">
        <f t="shared" si="11"/>
        <v>#N/A</v>
      </c>
      <c r="H18" s="15" t="e">
        <f t="shared" si="11"/>
        <v>#N/A</v>
      </c>
      <c r="I18" s="15" t="e">
        <f t="shared" si="11"/>
        <v>#N/A</v>
      </c>
      <c r="J18" s="15">
        <f t="shared" si="11"/>
        <v>688</v>
      </c>
      <c r="K18" s="15">
        <f t="shared" si="11"/>
        <v>0</v>
      </c>
      <c r="L18" s="15">
        <f t="shared" si="11"/>
        <v>0</v>
      </c>
      <c r="M18" s="15">
        <f t="shared" si="11"/>
        <v>0</v>
      </c>
      <c r="N18" s="15">
        <f t="shared" si="11"/>
        <v>0</v>
      </c>
      <c r="O18" s="15">
        <f t="shared" si="11"/>
        <v>2</v>
      </c>
      <c r="P18" s="15" t="e">
        <f t="shared" si="11"/>
        <v>#N/A</v>
      </c>
      <c r="Q18" s="15" t="e">
        <f t="shared" si="11"/>
        <v>#N/A</v>
      </c>
      <c r="R18" s="15" t="e">
        <f t="shared" si="11"/>
        <v>#N/A</v>
      </c>
      <c r="S18" s="15" t="e">
        <f t="shared" si="11"/>
        <v>#N/A</v>
      </c>
      <c r="T18" s="15" t="e">
        <f t="shared" si="11"/>
        <v>#N/A</v>
      </c>
      <c r="U18" s="15" t="e">
        <f t="shared" si="11"/>
        <v>#N/A</v>
      </c>
      <c r="V18" s="15" t="e">
        <f t="shared" si="11"/>
        <v>#N/A</v>
      </c>
      <c r="X18" s="12">
        <f t="shared" ca="1" si="10"/>
        <v>2017</v>
      </c>
      <c r="Y18" s="12" t="s">
        <v>105</v>
      </c>
      <c r="Z18" s="12" t="s">
        <v>106</v>
      </c>
      <c r="AA18" s="12" t="s">
        <v>107</v>
      </c>
      <c r="AB18" s="12" t="s">
        <v>108</v>
      </c>
      <c r="AC18">
        <f t="shared" si="7"/>
        <v>1</v>
      </c>
      <c r="AD18">
        <f t="shared" si="8"/>
        <v>15</v>
      </c>
      <c r="AE18" t="str">
        <f t="shared" si="9"/>
        <v>Belgium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ht="18" customHeight="1">
      <c r="A19" s="12"/>
      <c r="B19" s="13">
        <v>2.1</v>
      </c>
      <c r="C19" s="14" t="s">
        <v>109</v>
      </c>
      <c r="D19" s="13">
        <v>33542</v>
      </c>
      <c r="E19" s="13"/>
      <c r="F19" s="13"/>
      <c r="G19" s="13"/>
      <c r="H19" s="13"/>
      <c r="I19" s="13"/>
      <c r="J19" s="13">
        <v>688</v>
      </c>
      <c r="K19" s="13">
        <f>[1]Kenya!$J$14</f>
        <v>0</v>
      </c>
      <c r="L19" s="13">
        <f>[1]Kenya!$M$14</f>
        <v>0</v>
      </c>
      <c r="M19" s="13">
        <f>[1]Kenya!$P$14</f>
        <v>0</v>
      </c>
      <c r="N19" s="13">
        <f>[1]Kenya!$S$14</f>
        <v>0</v>
      </c>
      <c r="O19" s="13">
        <f>[1]Kenya!$V$14</f>
        <v>0</v>
      </c>
      <c r="P19" s="13"/>
      <c r="Q19" s="13"/>
      <c r="R19" s="13"/>
      <c r="S19" s="13"/>
      <c r="T19" s="13"/>
      <c r="U19" s="13"/>
      <c r="V19" s="13"/>
      <c r="X19" s="12">
        <f t="shared" ca="1" si="10"/>
        <v>2016</v>
      </c>
      <c r="Y19" s="12" t="s">
        <v>110</v>
      </c>
      <c r="Z19" s="12" t="s">
        <v>111</v>
      </c>
      <c r="AA19" s="12" t="s">
        <v>112</v>
      </c>
      <c r="AB19" s="12" t="s">
        <v>61</v>
      </c>
      <c r="AC19">
        <f t="shared" si="7"/>
        <v>1</v>
      </c>
      <c r="AD19">
        <f t="shared" si="8"/>
        <v>16</v>
      </c>
      <c r="AE19" t="str">
        <f t="shared" si="9"/>
        <v>Benin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ht="18" customHeight="1">
      <c r="A20" s="12"/>
      <c r="B20" s="13">
        <v>2.2000000000000002</v>
      </c>
      <c r="C20" s="14" t="s">
        <v>113</v>
      </c>
      <c r="D20" s="13">
        <v>1010</v>
      </c>
      <c r="E20" s="13"/>
      <c r="F20" s="13"/>
      <c r="G20" s="13"/>
      <c r="H20" s="13"/>
      <c r="I20" s="13"/>
      <c r="J20" s="13">
        <f>[1]Kenya!$G$18</f>
        <v>0</v>
      </c>
      <c r="K20" s="13">
        <f>[1]Kenya!$J$18</f>
        <v>0</v>
      </c>
      <c r="L20" s="13">
        <f>[1]Kenya!$M$18</f>
        <v>0</v>
      </c>
      <c r="M20" s="13">
        <f>[1]Kenya!$P$18</f>
        <v>0</v>
      </c>
      <c r="N20" s="13">
        <f>[1]Kenya!$S$18</f>
        <v>0</v>
      </c>
      <c r="O20" s="13">
        <v>2</v>
      </c>
      <c r="P20" s="13"/>
      <c r="Q20" s="13"/>
      <c r="R20" s="13"/>
      <c r="S20" s="13"/>
      <c r="T20" s="13"/>
      <c r="U20" s="13"/>
      <c r="V20" s="13"/>
      <c r="X20" s="12">
        <f t="shared" ca="1" si="10"/>
        <v>2015</v>
      </c>
      <c r="Y20" s="12" t="s">
        <v>114</v>
      </c>
      <c r="Z20" s="12" t="s">
        <v>115</v>
      </c>
      <c r="AA20" s="12" t="s">
        <v>116</v>
      </c>
      <c r="AB20" s="12" t="s">
        <v>14</v>
      </c>
      <c r="AC20">
        <f t="shared" si="7"/>
        <v>1</v>
      </c>
      <c r="AD20">
        <f t="shared" si="8"/>
        <v>17</v>
      </c>
      <c r="AE20" t="str">
        <f t="shared" si="9"/>
        <v>Bermuda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ht="18" customHeight="1">
      <c r="A21" s="12"/>
      <c r="B21" s="13">
        <v>2.2999999999999998</v>
      </c>
      <c r="C21" s="14" t="s">
        <v>117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X21" s="12">
        <f t="shared" ca="1" si="10"/>
        <v>2014</v>
      </c>
      <c r="Y21" s="12" t="s">
        <v>118</v>
      </c>
      <c r="Z21" s="12" t="s">
        <v>119</v>
      </c>
      <c r="AA21" s="12" t="s">
        <v>120</v>
      </c>
      <c r="AB21" s="12" t="s">
        <v>21</v>
      </c>
      <c r="AC21">
        <f t="shared" si="7"/>
        <v>1</v>
      </c>
      <c r="AD21">
        <f t="shared" si="8"/>
        <v>18</v>
      </c>
      <c r="AE21" t="str">
        <f t="shared" si="9"/>
        <v>Bhutan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ht="18" customHeight="1">
      <c r="A22" s="12"/>
      <c r="B22" s="13">
        <v>3</v>
      </c>
      <c r="C22" s="14" t="s">
        <v>121</v>
      </c>
      <c r="D22" s="15">
        <f t="shared" ref="D22:V22" si="12">IF(COUNT(D23,D24,D25)&gt;0,SUM(D23,D24,D25),NA())</f>
        <v>277</v>
      </c>
      <c r="E22" s="15" t="e">
        <f t="shared" si="12"/>
        <v>#N/A</v>
      </c>
      <c r="F22" s="15" t="e">
        <f t="shared" si="12"/>
        <v>#N/A</v>
      </c>
      <c r="G22" s="15" t="e">
        <f t="shared" si="12"/>
        <v>#N/A</v>
      </c>
      <c r="H22" s="15" t="e">
        <f t="shared" si="12"/>
        <v>#N/A</v>
      </c>
      <c r="I22" s="15" t="e">
        <f t="shared" si="12"/>
        <v>#N/A</v>
      </c>
      <c r="J22" s="15">
        <f t="shared" si="12"/>
        <v>30</v>
      </c>
      <c r="K22" s="15">
        <f t="shared" si="12"/>
        <v>65</v>
      </c>
      <c r="L22" s="15">
        <f t="shared" si="12"/>
        <v>70</v>
      </c>
      <c r="M22" s="15">
        <f t="shared" si="12"/>
        <v>64</v>
      </c>
      <c r="N22" s="15">
        <f t="shared" si="12"/>
        <v>51</v>
      </c>
      <c r="O22" s="15">
        <f t="shared" si="12"/>
        <v>34</v>
      </c>
      <c r="P22" s="15" t="e">
        <f t="shared" si="12"/>
        <v>#N/A</v>
      </c>
      <c r="Q22" s="15" t="e">
        <f t="shared" si="12"/>
        <v>#N/A</v>
      </c>
      <c r="R22" s="15" t="e">
        <f t="shared" si="12"/>
        <v>#N/A</v>
      </c>
      <c r="S22" s="15" t="e">
        <f t="shared" si="12"/>
        <v>#N/A</v>
      </c>
      <c r="T22" s="15" t="e">
        <f t="shared" si="12"/>
        <v>#N/A</v>
      </c>
      <c r="U22" s="15" t="e">
        <f t="shared" si="12"/>
        <v>#N/A</v>
      </c>
      <c r="V22" s="15" t="e">
        <f t="shared" si="12"/>
        <v>#N/A</v>
      </c>
      <c r="X22" s="12">
        <f t="shared" ca="1" si="10"/>
        <v>2013</v>
      </c>
      <c r="Y22" s="12" t="s">
        <v>122</v>
      </c>
      <c r="Z22" s="12" t="s">
        <v>123</v>
      </c>
      <c r="AA22" s="12" t="s">
        <v>124</v>
      </c>
      <c r="AB22" s="12" t="s">
        <v>61</v>
      </c>
      <c r="AC22">
        <f t="shared" si="7"/>
        <v>1</v>
      </c>
      <c r="AD22">
        <f t="shared" si="8"/>
        <v>19</v>
      </c>
      <c r="AE22" t="str">
        <f t="shared" si="9"/>
        <v>Bolivia (Plurinational State of)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ht="18" customHeight="1">
      <c r="A23" s="12"/>
      <c r="B23" s="13">
        <v>3.1</v>
      </c>
      <c r="C23" s="14" t="s">
        <v>125</v>
      </c>
      <c r="D23" s="13">
        <v>102</v>
      </c>
      <c r="E23" s="13"/>
      <c r="F23" s="13"/>
      <c r="G23" s="13"/>
      <c r="H23" s="13"/>
      <c r="I23" s="13"/>
      <c r="J23" s="13">
        <v>0</v>
      </c>
      <c r="K23" s="13">
        <v>5</v>
      </c>
      <c r="L23" s="13">
        <v>37</v>
      </c>
      <c r="M23" s="13">
        <v>19</v>
      </c>
      <c r="N23" s="13">
        <v>46</v>
      </c>
      <c r="O23" s="13">
        <v>34</v>
      </c>
      <c r="P23" s="13"/>
      <c r="Q23" s="13"/>
      <c r="R23" s="13"/>
      <c r="S23" s="13"/>
      <c r="T23" s="13"/>
      <c r="U23" s="13"/>
      <c r="V23" s="13"/>
      <c r="X23" s="12">
        <f t="shared" ca="1" si="10"/>
        <v>2012</v>
      </c>
      <c r="Y23" s="12" t="s">
        <v>126</v>
      </c>
      <c r="Z23" s="12" t="s">
        <v>127</v>
      </c>
      <c r="AA23" s="12" t="s">
        <v>128</v>
      </c>
      <c r="AB23" s="12" t="s">
        <v>108</v>
      </c>
      <c r="AC23">
        <f t="shared" si="7"/>
        <v>1</v>
      </c>
      <c r="AD23">
        <f t="shared" si="8"/>
        <v>20</v>
      </c>
      <c r="AE23" t="str">
        <f t="shared" si="9"/>
        <v>Bonaire, Saint Eustatius and Saba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ht="18" customHeight="1">
      <c r="A24" s="12"/>
      <c r="B24" s="13">
        <v>3.2</v>
      </c>
      <c r="C24" s="14" t="s">
        <v>129</v>
      </c>
      <c r="D24" s="13">
        <v>175</v>
      </c>
      <c r="E24" s="13"/>
      <c r="F24" s="13"/>
      <c r="G24" s="13"/>
      <c r="H24" s="13"/>
      <c r="I24" s="13"/>
      <c r="J24" s="13">
        <v>30</v>
      </c>
      <c r="K24" s="13">
        <v>60</v>
      </c>
      <c r="L24" s="13">
        <v>33</v>
      </c>
      <c r="M24" s="13">
        <v>45</v>
      </c>
      <c r="N24" s="13">
        <v>5</v>
      </c>
      <c r="O24" s="13">
        <v>0</v>
      </c>
      <c r="P24" s="13"/>
      <c r="Q24" s="13"/>
      <c r="R24" s="13"/>
      <c r="S24" s="13"/>
      <c r="T24" s="13"/>
      <c r="U24" s="13"/>
      <c r="V24" s="13"/>
      <c r="X24" s="12">
        <f t="shared" ca="1" si="10"/>
        <v>2011</v>
      </c>
      <c r="Y24" s="12" t="s">
        <v>130</v>
      </c>
      <c r="Z24" s="12" t="s">
        <v>131</v>
      </c>
      <c r="AA24" s="12" t="s">
        <v>132</v>
      </c>
      <c r="AB24" s="12" t="s">
        <v>61</v>
      </c>
      <c r="AC24">
        <f t="shared" si="7"/>
        <v>1</v>
      </c>
      <c r="AD24">
        <f t="shared" si="8"/>
        <v>21</v>
      </c>
      <c r="AE24" t="str">
        <f t="shared" si="9"/>
        <v>Bosnia and Herzegovina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ht="18" customHeight="1">
      <c r="A25" s="12"/>
      <c r="B25" s="13">
        <v>3.3</v>
      </c>
      <c r="C25" s="14" t="s">
        <v>133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X25" s="12">
        <f t="shared" ca="1" si="10"/>
        <v>2010</v>
      </c>
      <c r="Y25" s="12" t="s">
        <v>134</v>
      </c>
      <c r="Z25" s="12" t="s">
        <v>135</v>
      </c>
      <c r="AA25" s="12" t="s">
        <v>136</v>
      </c>
      <c r="AB25" s="12" t="s">
        <v>61</v>
      </c>
      <c r="AC25">
        <f t="shared" si="7"/>
        <v>1</v>
      </c>
      <c r="AD25">
        <f t="shared" si="8"/>
        <v>22</v>
      </c>
      <c r="AE25" t="str">
        <f t="shared" si="9"/>
        <v>Botswana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</row>
    <row r="26" spans="1:54" ht="18" customHeight="1">
      <c r="A26" s="12"/>
      <c r="B26" s="13">
        <v>4</v>
      </c>
      <c r="C26" s="14" t="s">
        <v>137</v>
      </c>
      <c r="D26" s="13">
        <v>372</v>
      </c>
      <c r="E26" s="13"/>
      <c r="F26" s="13"/>
      <c r="G26" s="13"/>
      <c r="H26" s="13"/>
      <c r="I26" s="13"/>
      <c r="J26" s="13">
        <v>3</v>
      </c>
      <c r="K26" s="13">
        <v>73</v>
      </c>
      <c r="L26" s="13">
        <v>202</v>
      </c>
      <c r="M26" s="13">
        <v>54</v>
      </c>
      <c r="N26" s="13">
        <v>24</v>
      </c>
      <c r="O26" s="13">
        <v>60</v>
      </c>
      <c r="P26" s="13"/>
      <c r="Q26" s="13">
        <v>8</v>
      </c>
      <c r="R26" s="13"/>
      <c r="S26" s="13"/>
      <c r="T26" s="13"/>
      <c r="U26" s="13"/>
      <c r="V26" s="13"/>
      <c r="X26" s="12">
        <f t="shared" ca="1" si="10"/>
        <v>2009</v>
      </c>
      <c r="Y26" s="12" t="s">
        <v>138</v>
      </c>
      <c r="Z26" s="12" t="s">
        <v>139</v>
      </c>
      <c r="AA26" s="12" t="s">
        <v>140</v>
      </c>
      <c r="AB26" s="12" t="s">
        <v>14</v>
      </c>
      <c r="AC26">
        <f t="shared" si="7"/>
        <v>1</v>
      </c>
      <c r="AD26">
        <f t="shared" si="8"/>
        <v>23</v>
      </c>
      <c r="AE26" t="str">
        <f t="shared" si="9"/>
        <v>Bouvet Island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1:54" ht="18" customHeight="1">
      <c r="A27" s="12"/>
      <c r="B27" s="13">
        <v>5</v>
      </c>
      <c r="C27" s="14" t="s">
        <v>141</v>
      </c>
      <c r="D27" s="13">
        <v>382</v>
      </c>
      <c r="E27" s="13"/>
      <c r="F27" s="13"/>
      <c r="G27" s="13"/>
      <c r="H27" s="13"/>
      <c r="I27" s="13"/>
      <c r="J27" s="13">
        <v>34</v>
      </c>
      <c r="K27" s="13">
        <v>113</v>
      </c>
      <c r="L27" s="13">
        <v>165</v>
      </c>
      <c r="M27" s="13">
        <v>95</v>
      </c>
      <c r="N27" s="13">
        <v>33</v>
      </c>
      <c r="O27" s="13">
        <v>77</v>
      </c>
      <c r="P27" s="13"/>
      <c r="Q27" s="13"/>
      <c r="R27" s="13"/>
      <c r="S27" s="13"/>
      <c r="T27" s="13"/>
      <c r="U27" s="13"/>
      <c r="V27" s="13"/>
      <c r="X27" s="12">
        <f t="shared" ca="1" si="10"/>
        <v>2008</v>
      </c>
      <c r="Y27" s="12" t="s">
        <v>142</v>
      </c>
      <c r="Z27" s="12" t="s">
        <v>143</v>
      </c>
      <c r="AA27" s="12" t="s">
        <v>144</v>
      </c>
      <c r="AB27" s="12" t="s">
        <v>21</v>
      </c>
      <c r="AC27">
        <f t="shared" si="7"/>
        <v>1</v>
      </c>
      <c r="AD27">
        <f t="shared" si="8"/>
        <v>24</v>
      </c>
      <c r="AE27" t="str">
        <f t="shared" si="9"/>
        <v>Brazil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</row>
    <row r="28" spans="1:54" ht="18" customHeight="1">
      <c r="A28" s="12"/>
      <c r="B28" s="13">
        <v>6</v>
      </c>
      <c r="C28" s="14" t="s">
        <v>145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X28" s="12">
        <f ca="1">YEAR(TODAY())-18</f>
        <v>2007</v>
      </c>
      <c r="Y28" s="12" t="s">
        <v>146</v>
      </c>
      <c r="Z28" s="12" t="s">
        <v>147</v>
      </c>
      <c r="AA28" s="12" t="s">
        <v>148</v>
      </c>
      <c r="AB28" s="12" t="s">
        <v>149</v>
      </c>
      <c r="AC28">
        <f t="shared" si="7"/>
        <v>1</v>
      </c>
      <c r="AD28">
        <f t="shared" si="8"/>
        <v>25</v>
      </c>
      <c r="AE28" t="str">
        <f t="shared" si="9"/>
        <v>British Indian Ocean Territory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spans="1:54" ht="18" customHeight="1">
      <c r="A29" s="12"/>
      <c r="B29" s="13">
        <v>7</v>
      </c>
      <c r="C29" s="14" t="s">
        <v>150</v>
      </c>
      <c r="D29" s="13">
        <v>1186</v>
      </c>
      <c r="E29" s="13"/>
      <c r="F29" s="13"/>
      <c r="G29" s="13"/>
      <c r="H29" s="13"/>
      <c r="I29" s="13"/>
      <c r="J29" s="13">
        <v>25</v>
      </c>
      <c r="K29" s="13">
        <v>268</v>
      </c>
      <c r="L29" s="13">
        <v>640</v>
      </c>
      <c r="M29" s="13">
        <v>201</v>
      </c>
      <c r="N29" s="13">
        <v>32</v>
      </c>
      <c r="O29" s="13">
        <v>70</v>
      </c>
      <c r="P29" s="13"/>
      <c r="Q29" s="13">
        <v>42</v>
      </c>
      <c r="R29" s="13"/>
      <c r="S29" s="13"/>
      <c r="T29" s="13"/>
      <c r="U29" s="13"/>
      <c r="V29" s="13"/>
      <c r="X29" s="12"/>
      <c r="Y29" s="12" t="s">
        <v>151</v>
      </c>
      <c r="Z29" s="12" t="s">
        <v>152</v>
      </c>
      <c r="AA29" s="12" t="s">
        <v>153</v>
      </c>
      <c r="AB29" s="12" t="s">
        <v>61</v>
      </c>
      <c r="AC29">
        <f t="shared" si="7"/>
        <v>1</v>
      </c>
      <c r="AD29">
        <f t="shared" si="8"/>
        <v>26</v>
      </c>
      <c r="AE29" t="str">
        <f t="shared" si="9"/>
        <v>British Virgin Islands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</row>
    <row r="30" spans="1:54" ht="18" customHeight="1">
      <c r="A30" s="12"/>
      <c r="B30" s="13">
        <v>8</v>
      </c>
      <c r="C30" s="14" t="s">
        <v>154</v>
      </c>
      <c r="D30" s="13">
        <v>1929</v>
      </c>
      <c r="E30" s="13"/>
      <c r="F30" s="13"/>
      <c r="G30" s="13"/>
      <c r="H30" s="13"/>
      <c r="I30" s="13"/>
      <c r="J30" s="13">
        <v>47</v>
      </c>
      <c r="K30" s="13">
        <v>480</v>
      </c>
      <c r="L30" s="13">
        <v>1027</v>
      </c>
      <c r="M30" s="13">
        <v>240</v>
      </c>
      <c r="N30" s="13">
        <v>22</v>
      </c>
      <c r="O30" s="13">
        <v>165</v>
      </c>
      <c r="P30" s="13"/>
      <c r="Q30" s="13"/>
      <c r="R30" s="13"/>
      <c r="S30" s="13"/>
      <c r="T30" s="13"/>
      <c r="U30" s="13"/>
      <c r="V30" s="13"/>
      <c r="X30" s="12"/>
      <c r="Y30" s="12" t="s">
        <v>155</v>
      </c>
      <c r="Z30" s="12" t="s">
        <v>156</v>
      </c>
      <c r="AA30" s="12" t="s">
        <v>157</v>
      </c>
      <c r="AB30" s="12" t="s">
        <v>149</v>
      </c>
      <c r="AC30">
        <f t="shared" si="7"/>
        <v>1</v>
      </c>
      <c r="AD30">
        <f t="shared" si="8"/>
        <v>27</v>
      </c>
      <c r="AE30" t="str">
        <f t="shared" si="9"/>
        <v>Brunei Darussalam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</row>
    <row r="31" spans="1:54" ht="18" customHeight="1">
      <c r="A31" s="12"/>
      <c r="B31" s="13">
        <v>9</v>
      </c>
      <c r="C31" s="14" t="s">
        <v>158</v>
      </c>
      <c r="D31" s="13">
        <v>7984</v>
      </c>
      <c r="E31" s="13"/>
      <c r="F31" s="13"/>
      <c r="G31" s="13"/>
      <c r="H31" s="13"/>
      <c r="I31" s="13"/>
      <c r="J31" s="13">
        <v>61</v>
      </c>
      <c r="K31" s="13">
        <v>2076</v>
      </c>
      <c r="L31" s="13">
        <v>4060</v>
      </c>
      <c r="M31" s="13">
        <v>1361</v>
      </c>
      <c r="N31" s="13">
        <v>323</v>
      </c>
      <c r="O31" s="13">
        <v>640</v>
      </c>
      <c r="P31" s="13"/>
      <c r="Q31" s="13"/>
      <c r="R31" s="13"/>
      <c r="S31" s="13"/>
      <c r="T31" s="13"/>
      <c r="U31" s="13"/>
      <c r="V31" s="13"/>
      <c r="X31" s="12"/>
      <c r="Y31" s="12" t="s">
        <v>159</v>
      </c>
      <c r="Z31" s="12" t="s">
        <v>160</v>
      </c>
      <c r="AA31" s="12" t="s">
        <v>161</v>
      </c>
      <c r="AB31" s="12" t="s">
        <v>61</v>
      </c>
      <c r="AC31">
        <f t="shared" si="7"/>
        <v>1</v>
      </c>
      <c r="AD31">
        <f t="shared" si="8"/>
        <v>28</v>
      </c>
      <c r="AE31" t="str">
        <f t="shared" si="9"/>
        <v>Bulgaria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</row>
    <row r="32" spans="1:54" ht="18" customHeight="1">
      <c r="A32" s="12"/>
      <c r="B32" s="13">
        <v>10</v>
      </c>
      <c r="C32" s="14" t="s">
        <v>162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>
        <v>9</v>
      </c>
      <c r="R32" s="13"/>
      <c r="S32" s="13"/>
      <c r="T32" s="13"/>
      <c r="U32" s="13"/>
      <c r="V32" s="13"/>
      <c r="X32" s="12"/>
      <c r="Y32" s="12" t="s">
        <v>163</v>
      </c>
      <c r="Z32" s="12" t="s">
        <v>164</v>
      </c>
      <c r="AA32" s="12" t="s">
        <v>165</v>
      </c>
      <c r="AB32" s="12" t="s">
        <v>25</v>
      </c>
      <c r="AC32">
        <f t="shared" si="7"/>
        <v>1</v>
      </c>
      <c r="AD32">
        <f t="shared" si="8"/>
        <v>29</v>
      </c>
      <c r="AE32" t="str">
        <f t="shared" si="9"/>
        <v>Burkina Faso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</row>
    <row r="33" spans="1:54" ht="18" customHeight="1">
      <c r="A33" s="12"/>
      <c r="B33" s="13">
        <v>11</v>
      </c>
      <c r="C33" s="14" t="s">
        <v>166</v>
      </c>
      <c r="D33" s="13">
        <v>836</v>
      </c>
      <c r="E33" s="13"/>
      <c r="F33" s="13"/>
      <c r="G33" s="13"/>
      <c r="H33" s="13"/>
      <c r="I33" s="13"/>
      <c r="J33" s="13">
        <v>10</v>
      </c>
      <c r="K33" s="13">
        <v>351</v>
      </c>
      <c r="L33" s="13">
        <v>234</v>
      </c>
      <c r="M33" s="13">
        <v>133</v>
      </c>
      <c r="N33" s="13">
        <v>29</v>
      </c>
      <c r="O33" s="13">
        <v>26</v>
      </c>
      <c r="P33" s="13"/>
      <c r="Q33" s="13">
        <v>5</v>
      </c>
      <c r="R33" s="13"/>
      <c r="S33" s="13"/>
      <c r="T33" s="13"/>
      <c r="U33" s="13"/>
      <c r="V33" s="13"/>
      <c r="X33" s="12"/>
      <c r="Y33" s="12" t="s">
        <v>167</v>
      </c>
      <c r="Z33" s="12" t="s">
        <v>168</v>
      </c>
      <c r="AA33" s="12" t="s">
        <v>169</v>
      </c>
      <c r="AB33" s="12" t="s">
        <v>14</v>
      </c>
      <c r="AC33">
        <f t="shared" si="7"/>
        <v>1</v>
      </c>
      <c r="AD33">
        <f t="shared" si="8"/>
        <v>30</v>
      </c>
      <c r="AE33" t="str">
        <f t="shared" si="9"/>
        <v>Burundi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</row>
    <row r="34" spans="1:54" ht="18" customHeight="1">
      <c r="A34" s="12"/>
      <c r="B34" s="13">
        <v>12</v>
      </c>
      <c r="C34" s="14" t="s">
        <v>170</v>
      </c>
      <c r="D34" s="13">
        <v>5310</v>
      </c>
      <c r="E34" s="13"/>
      <c r="F34" s="13"/>
      <c r="G34" s="13"/>
      <c r="H34" s="13"/>
      <c r="I34" s="13"/>
      <c r="J34" s="13">
        <v>40</v>
      </c>
      <c r="K34" s="13">
        <v>1176</v>
      </c>
      <c r="L34" s="13">
        <v>2024</v>
      </c>
      <c r="M34" s="13">
        <v>1297</v>
      </c>
      <c r="N34" s="13">
        <v>482</v>
      </c>
      <c r="O34" s="13">
        <v>320</v>
      </c>
      <c r="P34" s="13"/>
      <c r="Q34" s="13"/>
      <c r="R34" s="13"/>
      <c r="S34" s="13"/>
      <c r="T34" s="13"/>
      <c r="U34" s="13"/>
      <c r="V34" s="13"/>
      <c r="X34" s="12"/>
      <c r="Y34" s="12" t="s">
        <v>171</v>
      </c>
      <c r="Z34" s="12" t="s">
        <v>172</v>
      </c>
      <c r="AA34" s="12" t="s">
        <v>173</v>
      </c>
      <c r="AB34" s="12" t="s">
        <v>21</v>
      </c>
      <c r="AC34">
        <f t="shared" si="7"/>
        <v>1</v>
      </c>
      <c r="AD34">
        <f t="shared" si="8"/>
        <v>31</v>
      </c>
      <c r="AE34" t="str">
        <f t="shared" si="9"/>
        <v>Cabo Verde</v>
      </c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</row>
    <row r="35" spans="1:54" ht="18" customHeight="1">
      <c r="A35" s="12"/>
      <c r="B35" s="13">
        <v>13</v>
      </c>
      <c r="C35" s="14" t="s">
        <v>174</v>
      </c>
      <c r="D35" s="13">
        <v>5055</v>
      </c>
      <c r="E35" s="13"/>
      <c r="F35" s="13"/>
      <c r="G35" s="13"/>
      <c r="H35" s="13"/>
      <c r="I35" s="13"/>
      <c r="J35" s="13">
        <v>73</v>
      </c>
      <c r="K35" s="13">
        <v>1052</v>
      </c>
      <c r="L35" s="13">
        <v>1349</v>
      </c>
      <c r="M35" s="13">
        <v>1588</v>
      </c>
      <c r="N35" s="13">
        <v>781</v>
      </c>
      <c r="O35" s="13">
        <v>208</v>
      </c>
      <c r="P35" s="13"/>
      <c r="Q35" s="13"/>
      <c r="R35" s="13"/>
      <c r="S35" s="13"/>
      <c r="T35" s="13"/>
      <c r="U35" s="13"/>
      <c r="V35" s="13"/>
      <c r="X35" s="12"/>
      <c r="Y35" s="12" t="s">
        <v>175</v>
      </c>
      <c r="Z35" s="12" t="s">
        <v>176</v>
      </c>
      <c r="AA35" s="12" t="s">
        <v>177</v>
      </c>
      <c r="AB35" s="12" t="s">
        <v>21</v>
      </c>
      <c r="AC35">
        <f t="shared" si="7"/>
        <v>1</v>
      </c>
      <c r="AD35">
        <f t="shared" si="8"/>
        <v>32</v>
      </c>
      <c r="AE35" t="str">
        <f t="shared" si="9"/>
        <v>Cambodia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</row>
    <row r="36" spans="1:54" ht="18" customHeight="1">
      <c r="A36" s="12"/>
      <c r="B36" s="13">
        <v>14</v>
      </c>
      <c r="C36" s="14" t="s">
        <v>178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X36" s="12"/>
      <c r="Y36" s="12" t="s">
        <v>179</v>
      </c>
      <c r="Z36" s="12" t="s">
        <v>180</v>
      </c>
      <c r="AA36" s="12" t="s">
        <v>181</v>
      </c>
      <c r="AB36" s="12" t="s">
        <v>21</v>
      </c>
      <c r="AC36">
        <f t="shared" si="7"/>
        <v>1</v>
      </c>
      <c r="AD36">
        <f t="shared" si="8"/>
        <v>33</v>
      </c>
      <c r="AE36" t="str">
        <f t="shared" si="9"/>
        <v>Cameroon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</row>
    <row r="37" spans="1:54" ht="18" customHeight="1">
      <c r="A37" s="12"/>
      <c r="B37" s="13">
        <v>15</v>
      </c>
      <c r="C37" s="14" t="s">
        <v>182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X37" s="12"/>
      <c r="Y37" s="12" t="s">
        <v>183</v>
      </c>
      <c r="Z37" s="12" t="s">
        <v>184</v>
      </c>
      <c r="AA37" s="12" t="s">
        <v>185</v>
      </c>
      <c r="AB37" s="12" t="s">
        <v>25</v>
      </c>
      <c r="AC37">
        <f t="shared" si="7"/>
        <v>1</v>
      </c>
      <c r="AD37">
        <f t="shared" si="8"/>
        <v>34</v>
      </c>
      <c r="AE37" t="str">
        <f t="shared" si="9"/>
        <v>Canada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</row>
    <row r="38" spans="1:54" ht="18" customHeight="1">
      <c r="A38" s="12"/>
      <c r="B38" s="13">
        <v>16</v>
      </c>
      <c r="C38" s="14" t="s">
        <v>186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X38" s="12"/>
      <c r="Y38" s="12" t="s">
        <v>187</v>
      </c>
      <c r="Z38" s="12" t="s">
        <v>188</v>
      </c>
      <c r="AA38" s="12" t="s">
        <v>189</v>
      </c>
      <c r="AB38" s="12" t="s">
        <v>21</v>
      </c>
      <c r="AC38">
        <f t="shared" si="7"/>
        <v>1</v>
      </c>
      <c r="AD38">
        <f t="shared" si="8"/>
        <v>35</v>
      </c>
      <c r="AE38" t="str">
        <f t="shared" si="9"/>
        <v>Cayman Islands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spans="1:54" ht="18" customHeight="1">
      <c r="A39" s="12"/>
      <c r="B39" s="13">
        <v>17</v>
      </c>
      <c r="C39" s="14" t="s">
        <v>190</v>
      </c>
      <c r="D39" s="13">
        <v>6344</v>
      </c>
      <c r="E39" s="13"/>
      <c r="F39" s="13"/>
      <c r="G39" s="13"/>
      <c r="H39" s="13"/>
      <c r="I39" s="13"/>
      <c r="J39" s="13">
        <v>193</v>
      </c>
      <c r="K39" s="13">
        <v>1232</v>
      </c>
      <c r="L39" s="13">
        <v>4032</v>
      </c>
      <c r="M39" s="13">
        <v>862</v>
      </c>
      <c r="N39" s="13">
        <v>75</v>
      </c>
      <c r="O39" s="13">
        <v>78</v>
      </c>
      <c r="P39" s="13"/>
      <c r="Q39" s="13"/>
      <c r="R39" s="13"/>
      <c r="S39" s="13"/>
      <c r="T39" s="13"/>
      <c r="U39" s="13"/>
      <c r="V39" s="13"/>
      <c r="X39" s="12"/>
      <c r="Y39" s="12" t="s">
        <v>191</v>
      </c>
      <c r="Z39" s="12" t="s">
        <v>192</v>
      </c>
      <c r="AA39" s="12" t="s">
        <v>193</v>
      </c>
      <c r="AB39" s="12" t="s">
        <v>61</v>
      </c>
      <c r="AC39">
        <f t="shared" si="7"/>
        <v>1</v>
      </c>
      <c r="AD39">
        <f t="shared" si="8"/>
        <v>36</v>
      </c>
      <c r="AE39" t="str">
        <f t="shared" si="9"/>
        <v>Central African Republic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</row>
    <row r="40" spans="1:54" ht="18" customHeight="1">
      <c r="A40" s="12"/>
      <c r="B40" s="13">
        <v>18</v>
      </c>
      <c r="C40" s="14" t="s">
        <v>194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X40" s="12"/>
      <c r="Y40" s="12" t="s">
        <v>195</v>
      </c>
      <c r="Z40" s="12" t="s">
        <v>196</v>
      </c>
      <c r="AA40" s="12" t="s">
        <v>197</v>
      </c>
      <c r="AB40" s="12" t="s">
        <v>61</v>
      </c>
      <c r="AC40">
        <f t="shared" si="7"/>
        <v>1</v>
      </c>
      <c r="AD40">
        <f t="shared" si="8"/>
        <v>37</v>
      </c>
      <c r="AE40" t="str">
        <f t="shared" si="9"/>
        <v>Chad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spans="1:54" ht="18" customHeight="1">
      <c r="A41" s="12"/>
      <c r="B41" s="13">
        <v>18.100000000000001</v>
      </c>
      <c r="C41" s="14" t="s">
        <v>198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X41" s="12"/>
      <c r="Y41" s="12" t="s">
        <v>199</v>
      </c>
      <c r="Z41" s="12" t="s">
        <v>200</v>
      </c>
      <c r="AA41" s="12" t="s">
        <v>201</v>
      </c>
      <c r="AB41" s="12" t="s">
        <v>21</v>
      </c>
      <c r="AC41">
        <f t="shared" si="7"/>
        <v>1</v>
      </c>
      <c r="AD41">
        <f t="shared" si="8"/>
        <v>38</v>
      </c>
      <c r="AE41" t="str">
        <f t="shared" si="9"/>
        <v>Chile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spans="1:54" ht="18" customHeight="1">
      <c r="A42" s="12"/>
      <c r="B42" s="13">
        <v>18.2</v>
      </c>
      <c r="C42" s="14" t="s">
        <v>202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X42" s="12"/>
      <c r="Y42" s="12" t="s">
        <v>203</v>
      </c>
      <c r="Z42" s="12" t="s">
        <v>204</v>
      </c>
      <c r="AA42" s="12" t="s">
        <v>205</v>
      </c>
      <c r="AB42" s="12" t="s">
        <v>21</v>
      </c>
      <c r="AC42">
        <f t="shared" si="7"/>
        <v>1</v>
      </c>
      <c r="AD42">
        <f t="shared" si="8"/>
        <v>39</v>
      </c>
      <c r="AE42" t="str">
        <f t="shared" si="9"/>
        <v>China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spans="1:54" ht="18" customHeight="1">
      <c r="A43" s="12"/>
      <c r="B43" s="13">
        <v>18.3</v>
      </c>
      <c r="C43" s="14" t="s">
        <v>206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X43" s="12"/>
      <c r="Y43" s="12" t="s">
        <v>207</v>
      </c>
      <c r="Z43" s="12" t="s">
        <v>208</v>
      </c>
      <c r="AA43" s="12" t="s">
        <v>209</v>
      </c>
      <c r="AB43" s="12" t="s">
        <v>61</v>
      </c>
      <c r="AC43">
        <f t="shared" si="7"/>
        <v>1</v>
      </c>
      <c r="AD43">
        <f t="shared" si="8"/>
        <v>40</v>
      </c>
      <c r="AE43" t="str">
        <f t="shared" si="9"/>
        <v>China, Hong Kong SAR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spans="1:54" ht="18" customHeight="1">
      <c r="A44" s="12"/>
      <c r="B44" s="13">
        <v>19</v>
      </c>
      <c r="C44" s="14" t="s">
        <v>210</v>
      </c>
      <c r="D44" s="13">
        <v>705</v>
      </c>
      <c r="E44" s="13"/>
      <c r="F44" s="13"/>
      <c r="G44" s="13"/>
      <c r="H44" s="13"/>
      <c r="I44" s="13"/>
      <c r="J44" s="13">
        <v>8</v>
      </c>
      <c r="K44" s="13">
        <v>231</v>
      </c>
      <c r="L44" s="13">
        <v>280</v>
      </c>
      <c r="M44" s="13">
        <v>125</v>
      </c>
      <c r="N44" s="13">
        <v>60</v>
      </c>
      <c r="O44" s="13">
        <v>37</v>
      </c>
      <c r="P44" s="13"/>
      <c r="Q44" s="13"/>
      <c r="R44" s="13"/>
      <c r="S44" s="13"/>
      <c r="T44" s="13"/>
      <c r="U44" s="13"/>
      <c r="V44" s="13"/>
      <c r="X44" s="12"/>
      <c r="Y44" s="12" t="s">
        <v>211</v>
      </c>
      <c r="Z44" s="12" t="s">
        <v>212</v>
      </c>
      <c r="AA44" s="12" t="s">
        <v>213</v>
      </c>
      <c r="AB44" s="12" t="s">
        <v>25</v>
      </c>
      <c r="AC44">
        <f t="shared" si="7"/>
        <v>1</v>
      </c>
      <c r="AD44">
        <f t="shared" si="8"/>
        <v>41</v>
      </c>
      <c r="AE44" t="str">
        <f t="shared" si="9"/>
        <v>China, Macao SAR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spans="1:54" ht="18" customHeight="1">
      <c r="A45" s="12"/>
      <c r="B45" s="13">
        <v>20</v>
      </c>
      <c r="C45" s="14" t="s">
        <v>214</v>
      </c>
      <c r="D45" s="13">
        <v>68</v>
      </c>
      <c r="E45" s="13"/>
      <c r="F45" s="13"/>
      <c r="G45" s="13"/>
      <c r="H45" s="13"/>
      <c r="I45" s="13"/>
      <c r="J45" s="13">
        <v>0</v>
      </c>
      <c r="K45" s="13">
        <v>55</v>
      </c>
      <c r="L45" s="13">
        <v>92</v>
      </c>
      <c r="M45" s="13">
        <v>108</v>
      </c>
      <c r="N45" s="13">
        <v>55</v>
      </c>
      <c r="O45" s="13">
        <v>0</v>
      </c>
      <c r="P45" s="13"/>
      <c r="Q45" s="13"/>
      <c r="R45" s="13"/>
      <c r="S45" s="13"/>
      <c r="T45" s="13"/>
      <c r="U45" s="13"/>
      <c r="V45" s="13"/>
      <c r="X45" s="12"/>
      <c r="Y45" s="12" t="s">
        <v>215</v>
      </c>
      <c r="Z45" s="12" t="s">
        <v>216</v>
      </c>
      <c r="AA45" s="12" t="s">
        <v>217</v>
      </c>
      <c r="AB45" s="12" t="s">
        <v>25</v>
      </c>
      <c r="AC45">
        <f t="shared" si="7"/>
        <v>1</v>
      </c>
      <c r="AD45">
        <f t="shared" si="8"/>
        <v>42</v>
      </c>
      <c r="AE45" t="str">
        <f t="shared" si="9"/>
        <v>China, Province of Taiwan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spans="1:54" ht="18" customHeight="1">
      <c r="A46" s="12"/>
      <c r="B46" s="13">
        <v>21</v>
      </c>
      <c r="C46" s="14" t="s">
        <v>218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X46" s="12"/>
      <c r="Y46" s="12" t="s">
        <v>219</v>
      </c>
      <c r="Z46" s="12" t="s">
        <v>220</v>
      </c>
      <c r="AA46" s="12" t="s">
        <v>221</v>
      </c>
      <c r="AB46" s="12" t="s">
        <v>25</v>
      </c>
      <c r="AC46">
        <f t="shared" si="7"/>
        <v>1</v>
      </c>
      <c r="AD46">
        <f t="shared" si="8"/>
        <v>43</v>
      </c>
      <c r="AE46" t="str">
        <f t="shared" si="9"/>
        <v>China: Province of Taiwan only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spans="1:54" ht="18" customHeight="1">
      <c r="A47" s="12"/>
      <c r="B47" s="13">
        <v>22</v>
      </c>
      <c r="C47" s="14" t="s">
        <v>222</v>
      </c>
      <c r="D47" s="13">
        <v>2146</v>
      </c>
      <c r="E47" s="13"/>
      <c r="F47" s="13"/>
      <c r="G47" s="13"/>
      <c r="H47" s="13"/>
      <c r="I47" s="13"/>
      <c r="J47" s="13">
        <v>42</v>
      </c>
      <c r="K47" s="13">
        <v>1044</v>
      </c>
      <c r="L47" s="13">
        <v>841</v>
      </c>
      <c r="M47" s="13">
        <v>345</v>
      </c>
      <c r="N47" s="13">
        <v>134</v>
      </c>
      <c r="O47" s="13">
        <v>236</v>
      </c>
      <c r="P47" s="13"/>
      <c r="Q47" s="13"/>
      <c r="R47" s="13"/>
      <c r="S47" s="13"/>
      <c r="T47" s="13"/>
      <c r="U47" s="13"/>
      <c r="V47" s="13"/>
      <c r="X47" s="12"/>
      <c r="Y47" s="12" t="s">
        <v>223</v>
      </c>
      <c r="Z47" s="12" t="s">
        <v>224</v>
      </c>
      <c r="AA47" s="12" t="s">
        <v>225</v>
      </c>
      <c r="AB47" s="12" t="s">
        <v>149</v>
      </c>
      <c r="AC47">
        <f t="shared" si="7"/>
        <v>1</v>
      </c>
      <c r="AD47">
        <f t="shared" si="8"/>
        <v>44</v>
      </c>
      <c r="AE47" t="str">
        <f t="shared" si="9"/>
        <v>Christmas Island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</row>
    <row r="48" spans="1:54" ht="18" customHeight="1">
      <c r="A48" s="12"/>
      <c r="B48" s="13">
        <v>23</v>
      </c>
      <c r="C48" s="14" t="s">
        <v>226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X48" s="12"/>
      <c r="Y48" s="12" t="s">
        <v>227</v>
      </c>
      <c r="Z48" s="12" t="s">
        <v>228</v>
      </c>
      <c r="AA48" s="12" t="s">
        <v>229</v>
      </c>
      <c r="AB48" s="12" t="s">
        <v>149</v>
      </c>
      <c r="AC48">
        <f t="shared" si="7"/>
        <v>1</v>
      </c>
      <c r="AD48">
        <f t="shared" si="8"/>
        <v>45</v>
      </c>
      <c r="AE48" t="str">
        <f t="shared" si="9"/>
        <v>Cocos (Keeling) Islands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</row>
    <row r="49" spans="1:54" ht="18" customHeight="1">
      <c r="A49" s="12"/>
      <c r="B49" s="13">
        <v>24</v>
      </c>
      <c r="C49" s="14" t="s">
        <v>230</v>
      </c>
      <c r="D49" s="13">
        <v>18</v>
      </c>
      <c r="E49" s="13"/>
      <c r="F49" s="13"/>
      <c r="G49" s="13"/>
      <c r="H49" s="13"/>
      <c r="I49" s="13"/>
      <c r="J49" s="13">
        <v>0</v>
      </c>
      <c r="K49" s="13">
        <v>12</v>
      </c>
      <c r="L49" s="13">
        <v>20</v>
      </c>
      <c r="M49" s="13">
        <v>9</v>
      </c>
      <c r="N49" s="13">
        <v>4</v>
      </c>
      <c r="O49" s="13">
        <v>0</v>
      </c>
      <c r="P49" s="13"/>
      <c r="Q49" s="13">
        <v>50</v>
      </c>
      <c r="R49" s="13"/>
      <c r="S49" s="13"/>
      <c r="T49" s="13"/>
      <c r="U49" s="13"/>
      <c r="V49" s="13"/>
      <c r="X49" s="12"/>
      <c r="Y49" s="12" t="s">
        <v>231</v>
      </c>
      <c r="Z49" s="12" t="s">
        <v>232</v>
      </c>
      <c r="AA49" s="12" t="s">
        <v>233</v>
      </c>
      <c r="AB49" s="12" t="s">
        <v>149</v>
      </c>
      <c r="AC49">
        <f t="shared" si="7"/>
        <v>1</v>
      </c>
      <c r="AD49">
        <f t="shared" si="8"/>
        <v>46</v>
      </c>
      <c r="AE49" t="str">
        <f t="shared" si="9"/>
        <v>Colombia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spans="1:54" ht="18" customHeight="1">
      <c r="A50" s="12"/>
      <c r="B50" s="13">
        <v>25</v>
      </c>
      <c r="C50" s="14" t="s">
        <v>234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X50" s="12"/>
      <c r="Y50" s="12" t="s">
        <v>235</v>
      </c>
      <c r="Z50" s="12" t="s">
        <v>236</v>
      </c>
      <c r="AA50" s="12" t="s">
        <v>237</v>
      </c>
      <c r="AB50" s="12" t="s">
        <v>149</v>
      </c>
      <c r="AC50">
        <f t="shared" si="7"/>
        <v>1</v>
      </c>
      <c r="AD50">
        <f t="shared" si="8"/>
        <v>47</v>
      </c>
      <c r="AE50" t="str">
        <f t="shared" si="9"/>
        <v>Comoros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spans="1:54" ht="18" customHeight="1">
      <c r="A51" s="12"/>
      <c r="B51" s="13">
        <v>26</v>
      </c>
      <c r="C51" s="14" t="s">
        <v>238</v>
      </c>
      <c r="D51" s="13">
        <v>224</v>
      </c>
      <c r="E51" s="13"/>
      <c r="F51" s="13"/>
      <c r="G51" s="13"/>
      <c r="H51" s="13"/>
      <c r="I51" s="13"/>
      <c r="J51" s="13">
        <v>4</v>
      </c>
      <c r="K51" s="13">
        <v>48</v>
      </c>
      <c r="L51" s="13">
        <v>127</v>
      </c>
      <c r="M51" s="13">
        <v>38</v>
      </c>
      <c r="N51" s="13">
        <v>19</v>
      </c>
      <c r="O51" s="13">
        <v>0</v>
      </c>
      <c r="P51" s="13"/>
      <c r="Q51" s="13"/>
      <c r="R51" s="13"/>
      <c r="S51" s="13"/>
      <c r="T51" s="13"/>
      <c r="U51" s="13"/>
      <c r="V51" s="13"/>
      <c r="X51" s="12"/>
      <c r="Y51" s="12" t="s">
        <v>239</v>
      </c>
      <c r="Z51" s="12" t="s">
        <v>240</v>
      </c>
      <c r="AA51" s="12" t="s">
        <v>241</v>
      </c>
      <c r="AB51" s="12" t="s">
        <v>61</v>
      </c>
      <c r="AC51">
        <f t="shared" si="7"/>
        <v>1</v>
      </c>
      <c r="AD51">
        <f t="shared" si="8"/>
        <v>48</v>
      </c>
      <c r="AE51" t="str">
        <f t="shared" si="9"/>
        <v>Congo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spans="1:54" ht="18" customHeight="1">
      <c r="A52" s="12"/>
      <c r="B52" s="13">
        <v>27</v>
      </c>
      <c r="C52" s="14" t="s">
        <v>242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X52" s="12"/>
      <c r="Y52" s="12" t="s">
        <v>243</v>
      </c>
      <c r="Z52" s="12" t="s">
        <v>244</v>
      </c>
      <c r="AA52" s="12" t="s">
        <v>245</v>
      </c>
      <c r="AB52" s="12" t="s">
        <v>21</v>
      </c>
      <c r="AC52">
        <f t="shared" si="7"/>
        <v>1</v>
      </c>
      <c r="AD52">
        <f t="shared" si="8"/>
        <v>49</v>
      </c>
      <c r="AE52" t="str">
        <f t="shared" si="9"/>
        <v>Cook Islands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spans="1:54" ht="18" customHeight="1">
      <c r="A53" s="12"/>
      <c r="B53" s="13">
        <v>28</v>
      </c>
      <c r="C53" s="14" t="s">
        <v>246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X53" s="12"/>
      <c r="Y53" s="12" t="s">
        <v>247</v>
      </c>
      <c r="Z53" s="12" t="s">
        <v>248</v>
      </c>
      <c r="AA53" s="12" t="s">
        <v>249</v>
      </c>
      <c r="AB53" s="12" t="s">
        <v>21</v>
      </c>
      <c r="AC53">
        <f t="shared" si="7"/>
        <v>1</v>
      </c>
      <c r="AD53">
        <f t="shared" si="8"/>
        <v>50</v>
      </c>
      <c r="AE53" t="str">
        <f t="shared" si="9"/>
        <v>Costa Rica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</row>
    <row r="54" spans="1:54" ht="18" customHeight="1">
      <c r="A54" s="12"/>
      <c r="B54" s="13">
        <v>29</v>
      </c>
      <c r="C54" s="14" t="s">
        <v>250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X54" s="12"/>
      <c r="Y54" s="12" t="s">
        <v>251</v>
      </c>
      <c r="Z54" s="12" t="s">
        <v>252</v>
      </c>
      <c r="AA54" s="12" t="s">
        <v>253</v>
      </c>
      <c r="AB54" s="12" t="s">
        <v>25</v>
      </c>
      <c r="AC54">
        <f t="shared" si="7"/>
        <v>1</v>
      </c>
      <c r="AD54">
        <f t="shared" si="8"/>
        <v>51</v>
      </c>
      <c r="AE54" t="str">
        <f t="shared" si="9"/>
        <v>Croatia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spans="1:54" ht="18" customHeight="1">
      <c r="A55" s="12"/>
      <c r="B55" s="13">
        <v>30</v>
      </c>
      <c r="C55" s="14" t="s">
        <v>254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X55" s="12"/>
      <c r="Y55" s="12" t="s">
        <v>255</v>
      </c>
      <c r="Z55" s="12" t="s">
        <v>256</v>
      </c>
      <c r="AA55" s="12" t="s">
        <v>257</v>
      </c>
      <c r="AB55" s="12" t="s">
        <v>61</v>
      </c>
      <c r="AC55">
        <f t="shared" si="7"/>
        <v>1</v>
      </c>
      <c r="AD55">
        <f t="shared" si="8"/>
        <v>52</v>
      </c>
      <c r="AE55" t="str">
        <f t="shared" si="9"/>
        <v>Cuba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spans="1:54" ht="18" customHeight="1">
      <c r="A56" s="12"/>
      <c r="B56" s="13">
        <v>31</v>
      </c>
      <c r="C56" s="14" t="s">
        <v>258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X56" s="12"/>
      <c r="Y56" s="12" t="s">
        <v>259</v>
      </c>
      <c r="Z56" s="12" t="s">
        <v>260</v>
      </c>
      <c r="AA56" s="12" t="s">
        <v>261</v>
      </c>
      <c r="AB56" s="12" t="s">
        <v>14</v>
      </c>
      <c r="AC56">
        <f t="shared" si="7"/>
        <v>1</v>
      </c>
      <c r="AD56">
        <f t="shared" si="8"/>
        <v>53</v>
      </c>
      <c r="AE56" t="str">
        <f t="shared" si="9"/>
        <v>Curaçao</v>
      </c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spans="1:54" ht="18" customHeight="1">
      <c r="A57" s="12"/>
      <c r="B57" s="13">
        <v>32</v>
      </c>
      <c r="C57" s="14" t="s">
        <v>262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X57" s="12"/>
      <c r="Y57" s="12" t="s">
        <v>263</v>
      </c>
      <c r="Z57" s="12" t="s">
        <v>264</v>
      </c>
      <c r="AA57" s="12" t="s">
        <v>265</v>
      </c>
      <c r="AB57" s="12" t="s">
        <v>61</v>
      </c>
      <c r="AC57">
        <f t="shared" si="7"/>
        <v>1</v>
      </c>
      <c r="AD57">
        <f t="shared" si="8"/>
        <v>54</v>
      </c>
      <c r="AE57" t="str">
        <f t="shared" si="9"/>
        <v>Cyprus</v>
      </c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spans="1:54" ht="18" customHeight="1">
      <c r="A58" s="12"/>
      <c r="B58" s="13">
        <v>33</v>
      </c>
      <c r="C58" s="14" t="s">
        <v>266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X58" s="12"/>
      <c r="Y58" s="12" t="s">
        <v>267</v>
      </c>
      <c r="Z58" s="12" t="s">
        <v>268</v>
      </c>
      <c r="AA58" s="12" t="s">
        <v>269</v>
      </c>
      <c r="AB58" s="12" t="s">
        <v>61</v>
      </c>
      <c r="AC58">
        <f t="shared" si="7"/>
        <v>1</v>
      </c>
      <c r="AD58">
        <f t="shared" si="8"/>
        <v>55</v>
      </c>
      <c r="AE58" t="str">
        <f t="shared" si="9"/>
        <v>Czechia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spans="1:54" ht="18" customHeight="1">
      <c r="A59" s="12"/>
      <c r="B59" s="13">
        <v>34</v>
      </c>
      <c r="C59" s="14" t="s">
        <v>270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X59" s="12"/>
      <c r="Y59" s="12" t="s">
        <v>271</v>
      </c>
      <c r="Z59" s="12" t="s">
        <v>272</v>
      </c>
      <c r="AA59" s="12" t="s">
        <v>273</v>
      </c>
      <c r="AB59" s="12" t="s">
        <v>14</v>
      </c>
      <c r="AC59">
        <f t="shared" si="7"/>
        <v>1</v>
      </c>
      <c r="AD59">
        <f t="shared" si="8"/>
        <v>56</v>
      </c>
      <c r="AE59" t="str">
        <f t="shared" si="9"/>
        <v>Czechoslovakia, Former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0" spans="1:54" ht="18" customHeight="1">
      <c r="A60" s="12"/>
      <c r="B60" s="13">
        <v>35</v>
      </c>
      <c r="C60" s="14" t="s">
        <v>274</v>
      </c>
      <c r="D60" s="13">
        <v>2630</v>
      </c>
      <c r="E60" s="13"/>
      <c r="F60" s="13"/>
      <c r="G60" s="13"/>
      <c r="H60" s="13"/>
      <c r="I60" s="13"/>
      <c r="J60" s="13">
        <v>62</v>
      </c>
      <c r="K60" s="13">
        <v>306</v>
      </c>
      <c r="L60" s="13">
        <v>1007</v>
      </c>
      <c r="M60" s="13">
        <v>815</v>
      </c>
      <c r="N60" s="13">
        <v>397</v>
      </c>
      <c r="O60" s="13">
        <v>14</v>
      </c>
      <c r="P60" s="13"/>
      <c r="Q60" s="13"/>
      <c r="R60" s="13"/>
      <c r="S60" s="13"/>
      <c r="T60" s="13"/>
      <c r="U60" s="13"/>
      <c r="V60" s="13"/>
      <c r="X60" s="12"/>
      <c r="Y60" s="12" t="s">
        <v>275</v>
      </c>
      <c r="Z60" s="12" t="s">
        <v>276</v>
      </c>
      <c r="AA60" s="12" t="s">
        <v>277</v>
      </c>
      <c r="AB60" s="12" t="s">
        <v>14</v>
      </c>
      <c r="AC60">
        <f t="shared" si="7"/>
        <v>1</v>
      </c>
      <c r="AD60">
        <f t="shared" si="8"/>
        <v>57</v>
      </c>
      <c r="AE60" t="str">
        <f t="shared" si="9"/>
        <v>Côte d'Ivoire</v>
      </c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spans="1:54" ht="18" customHeight="1">
      <c r="A61" s="12"/>
      <c r="B61" s="13">
        <v>36</v>
      </c>
      <c r="C61" s="14" t="s">
        <v>278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X61" s="12"/>
      <c r="Y61" s="12" t="s">
        <v>279</v>
      </c>
      <c r="Z61" s="12" t="s">
        <v>280</v>
      </c>
      <c r="AA61" s="12" t="s">
        <v>281</v>
      </c>
      <c r="AB61" s="12" t="s">
        <v>149</v>
      </c>
      <c r="AC61">
        <f t="shared" si="7"/>
        <v>1</v>
      </c>
      <c r="AD61">
        <f t="shared" si="8"/>
        <v>58</v>
      </c>
      <c r="AE61" t="str">
        <f t="shared" si="9"/>
        <v>Democratic People's Republic of Korea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</row>
    <row r="62" spans="1:54" ht="18" customHeight="1">
      <c r="A62" s="12"/>
      <c r="B62" s="13">
        <v>37</v>
      </c>
      <c r="C62" s="14" t="s">
        <v>282</v>
      </c>
      <c r="D62" s="13">
        <v>2254</v>
      </c>
      <c r="E62" s="13"/>
      <c r="F62" s="13"/>
      <c r="G62" s="13"/>
      <c r="H62" s="13"/>
      <c r="I62" s="13"/>
      <c r="J62" s="13">
        <v>31</v>
      </c>
      <c r="K62" s="13">
        <v>961</v>
      </c>
      <c r="L62" s="13">
        <v>747</v>
      </c>
      <c r="M62" s="13">
        <v>385</v>
      </c>
      <c r="N62" s="13">
        <v>158</v>
      </c>
      <c r="O62" s="13">
        <v>72</v>
      </c>
      <c r="P62" s="13"/>
      <c r="Q62" s="13"/>
      <c r="R62" s="13"/>
      <c r="S62" s="13"/>
      <c r="T62" s="13"/>
      <c r="U62" s="13"/>
      <c r="V62" s="13"/>
      <c r="X62" s="12"/>
      <c r="Y62" s="12" t="s">
        <v>283</v>
      </c>
      <c r="Z62" s="12" t="s">
        <v>284</v>
      </c>
      <c r="AA62" s="12" t="s">
        <v>285</v>
      </c>
      <c r="AB62" s="12" t="s">
        <v>21</v>
      </c>
      <c r="AC62">
        <f t="shared" si="7"/>
        <v>1</v>
      </c>
      <c r="AD62">
        <f t="shared" si="8"/>
        <v>59</v>
      </c>
      <c r="AE62" t="str">
        <f t="shared" si="9"/>
        <v>Democratic Republic of the Congo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</row>
    <row r="63" spans="1:54" ht="18" customHeight="1">
      <c r="A63" s="12"/>
      <c r="B63" s="13">
        <v>38</v>
      </c>
      <c r="C63" s="14" t="s">
        <v>286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X63" s="12"/>
      <c r="Y63" s="12" t="s">
        <v>287</v>
      </c>
      <c r="Z63" s="12" t="s">
        <v>288</v>
      </c>
      <c r="AA63" s="12" t="s">
        <v>289</v>
      </c>
      <c r="AB63" s="12" t="s">
        <v>108</v>
      </c>
      <c r="AC63">
        <f t="shared" si="7"/>
        <v>1</v>
      </c>
      <c r="AD63">
        <f t="shared" si="8"/>
        <v>60</v>
      </c>
      <c r="AE63" t="str">
        <f t="shared" si="9"/>
        <v>Denmark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</row>
    <row r="64" spans="1:54" ht="18" customHeight="1">
      <c r="A64" s="12"/>
      <c r="B64" s="13">
        <v>39</v>
      </c>
      <c r="C64" s="14" t="s">
        <v>290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X64" s="12"/>
      <c r="Y64" s="12" t="s">
        <v>291</v>
      </c>
      <c r="Z64" s="12" t="s">
        <v>292</v>
      </c>
      <c r="AA64" s="12" t="s">
        <v>293</v>
      </c>
      <c r="AB64" s="12" t="s">
        <v>21</v>
      </c>
      <c r="AC64">
        <f t="shared" si="7"/>
        <v>1</v>
      </c>
      <c r="AD64">
        <f t="shared" si="8"/>
        <v>61</v>
      </c>
      <c r="AE64" t="str">
        <f t="shared" si="9"/>
        <v>Denmark</v>
      </c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</row>
    <row r="65" spans="1:54" ht="18" customHeight="1">
      <c r="A65" s="12"/>
      <c r="B65" s="13">
        <v>40</v>
      </c>
      <c r="C65" s="14" t="s">
        <v>294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X65" s="12"/>
      <c r="Y65" s="12" t="s">
        <v>295</v>
      </c>
      <c r="Z65" s="12" t="s">
        <v>296</v>
      </c>
      <c r="AA65" s="12" t="s">
        <v>297</v>
      </c>
      <c r="AB65" s="12" t="s">
        <v>14</v>
      </c>
      <c r="AC65">
        <f t="shared" si="7"/>
        <v>1</v>
      </c>
      <c r="AD65">
        <f t="shared" si="8"/>
        <v>62</v>
      </c>
      <c r="AE65" t="str">
        <f t="shared" si="9"/>
        <v>El Salvador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</row>
    <row r="66" spans="1:54" ht="18" customHeight="1">
      <c r="A66" s="12"/>
      <c r="B66" s="13">
        <v>41</v>
      </c>
      <c r="C66" s="14" t="s">
        <v>298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X66" s="12"/>
      <c r="Y66" s="12"/>
      <c r="Z66" s="12"/>
      <c r="AA66" s="12"/>
      <c r="AB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</row>
    <row r="67" spans="1:54" ht="18" customHeight="1">
      <c r="A67" s="12"/>
      <c r="B67" s="13">
        <v>41.1</v>
      </c>
      <c r="C67" s="14" t="s">
        <v>299</v>
      </c>
      <c r="D67" s="13">
        <v>61</v>
      </c>
      <c r="E67" s="13"/>
      <c r="F67" s="13"/>
      <c r="G67" s="13"/>
      <c r="H67" s="13"/>
      <c r="I67" s="13"/>
      <c r="J67" s="13">
        <v>0</v>
      </c>
      <c r="K67" s="13">
        <v>9</v>
      </c>
      <c r="L67" s="13">
        <v>29</v>
      </c>
      <c r="M67" s="13">
        <v>8</v>
      </c>
      <c r="N67" s="13">
        <v>1</v>
      </c>
      <c r="O67" s="13">
        <v>2</v>
      </c>
      <c r="P67" s="13"/>
      <c r="Q67" s="13"/>
      <c r="R67" s="13"/>
      <c r="S67" s="13"/>
      <c r="T67" s="13"/>
      <c r="U67" s="13"/>
      <c r="V67" s="13"/>
      <c r="X67" s="12"/>
      <c r="Y67" s="12" t="s">
        <v>295</v>
      </c>
      <c r="Z67" s="12" t="s">
        <v>296</v>
      </c>
      <c r="AA67" s="12" t="s">
        <v>297</v>
      </c>
      <c r="AB67" s="12" t="s">
        <v>14</v>
      </c>
      <c r="AC67">
        <f>--ISNUMBER(IFERROR(SEARCH($V$1,Y67,1),""))</f>
        <v>1</v>
      </c>
      <c r="AD67">
        <f>IF(AC67=1,COUNTIF($AC$2:AC67,1),"")</f>
        <v>63</v>
      </c>
      <c r="AE67" t="str">
        <f t="array" ref="AE67">IFERROR(INDEX($Y$2:$Y$253,MATCH(ROWS($AD$2:AD67),$AD$2:$AD$253,0)),"")</f>
        <v>Eritrea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</row>
    <row r="68" spans="1:54" ht="14.25" customHeight="1"/>
    <row r="69" spans="1:54" ht="45.75" customHeight="1">
      <c r="B69" s="36" t="s">
        <v>300</v>
      </c>
      <c r="C69" s="37"/>
      <c r="D69" s="37"/>
      <c r="E69" s="37"/>
      <c r="F69" s="37"/>
      <c r="G69" s="38"/>
    </row>
    <row r="70" spans="1:54" ht="75" customHeight="1">
      <c r="B70" s="41"/>
      <c r="C70" s="37"/>
      <c r="D70" s="37"/>
      <c r="E70" s="37"/>
      <c r="F70" s="37"/>
      <c r="G70" s="38"/>
    </row>
    <row r="71" spans="1:54" ht="14.25" customHeight="1">
      <c r="Y71" t="s">
        <v>301</v>
      </c>
      <c r="Z71" t="s">
        <v>302</v>
      </c>
      <c r="AA71" t="s">
        <v>303</v>
      </c>
      <c r="AB71" t="s">
        <v>61</v>
      </c>
      <c r="AC71">
        <f t="shared" ref="AC71:AC264" si="13">--ISNUMBER(IFERROR(SEARCH($V$1,Y71,1),""))</f>
        <v>1</v>
      </c>
      <c r="AD71">
        <f t="shared" ref="AD71:AD264" si="14">IF(AC71=1,COUNTIF($AC71:AC$2,1),"")</f>
        <v>64</v>
      </c>
      <c r="AE71" t="str">
        <f t="shared" ref="AE71:AE264" si="15">IFERROR(INDEX($Y$2:$Y$253,MATCH(ROWS($AD71:AD$2),$AD$2:$AD$253,0)),"")</f>
        <v>Falkland Islands (Malvinas)</v>
      </c>
    </row>
    <row r="72" spans="1:54" ht="14.25" customHeight="1">
      <c r="Y72" t="s">
        <v>304</v>
      </c>
      <c r="Z72" t="s">
        <v>305</v>
      </c>
      <c r="AA72" t="s">
        <v>306</v>
      </c>
      <c r="AB72" t="s">
        <v>21</v>
      </c>
      <c r="AC72">
        <f t="shared" si="13"/>
        <v>1</v>
      </c>
      <c r="AD72">
        <f t="shared" si="14"/>
        <v>65</v>
      </c>
      <c r="AE72" t="str">
        <f t="shared" si="15"/>
        <v>Faroe Islands</v>
      </c>
    </row>
    <row r="73" spans="1:54" ht="14.25" customHeight="1">
      <c r="Y73" t="s">
        <v>307</v>
      </c>
      <c r="Z73" t="s">
        <v>308</v>
      </c>
      <c r="AA73" t="s">
        <v>309</v>
      </c>
      <c r="AB73" t="s">
        <v>21</v>
      </c>
      <c r="AC73">
        <f t="shared" si="13"/>
        <v>1</v>
      </c>
      <c r="AD73">
        <f t="shared" si="14"/>
        <v>66</v>
      </c>
      <c r="AE73" t="str">
        <f t="shared" si="15"/>
        <v>Fiji</v>
      </c>
    </row>
    <row r="74" spans="1:54" ht="14.25" customHeight="1">
      <c r="Y74" t="s">
        <v>310</v>
      </c>
      <c r="Z74" t="s">
        <v>311</v>
      </c>
      <c r="AA74" t="s">
        <v>312</v>
      </c>
      <c r="AB74" t="s">
        <v>14</v>
      </c>
      <c r="AC74">
        <f t="shared" si="13"/>
        <v>1</v>
      </c>
      <c r="AD74">
        <f t="shared" si="14"/>
        <v>67</v>
      </c>
      <c r="AE74" t="str">
        <f t="shared" si="15"/>
        <v>Finland</v>
      </c>
    </row>
    <row r="75" spans="1:54" ht="14.25" customHeight="1">
      <c r="Y75" t="s">
        <v>313</v>
      </c>
      <c r="Z75" t="s">
        <v>314</v>
      </c>
      <c r="AA75" t="s">
        <v>315</v>
      </c>
      <c r="AB75" t="s">
        <v>21</v>
      </c>
      <c r="AC75">
        <f t="shared" si="13"/>
        <v>1</v>
      </c>
      <c r="AD75">
        <f t="shared" si="14"/>
        <v>68</v>
      </c>
      <c r="AE75" t="str">
        <f t="shared" si="15"/>
        <v>France</v>
      </c>
    </row>
    <row r="76" spans="1:54" ht="14.25" customHeight="1">
      <c r="Y76" t="s">
        <v>316</v>
      </c>
      <c r="Z76" t="s">
        <v>317</v>
      </c>
      <c r="AA76" t="s">
        <v>318</v>
      </c>
      <c r="AB76" t="s">
        <v>21</v>
      </c>
      <c r="AC76">
        <f t="shared" si="13"/>
        <v>1</v>
      </c>
      <c r="AD76">
        <f t="shared" si="14"/>
        <v>69</v>
      </c>
      <c r="AE76" t="str">
        <f t="shared" si="15"/>
        <v>French Guiana</v>
      </c>
    </row>
    <row r="77" spans="1:54" ht="14.25" customHeight="1">
      <c r="Y77" t="s">
        <v>319</v>
      </c>
      <c r="Z77" t="s">
        <v>320</v>
      </c>
      <c r="AA77" t="s">
        <v>321</v>
      </c>
      <c r="AB77" t="s">
        <v>149</v>
      </c>
      <c r="AC77">
        <f t="shared" si="13"/>
        <v>1</v>
      </c>
      <c r="AD77">
        <f t="shared" si="14"/>
        <v>70</v>
      </c>
      <c r="AE77" t="str">
        <f t="shared" si="15"/>
        <v>French Polynesia</v>
      </c>
    </row>
    <row r="78" spans="1:54" ht="14.25" customHeight="1">
      <c r="Y78" t="s">
        <v>322</v>
      </c>
      <c r="Z78" t="s">
        <v>323</v>
      </c>
      <c r="AA78" t="s">
        <v>324</v>
      </c>
      <c r="AB78" t="s">
        <v>149</v>
      </c>
      <c r="AC78">
        <f t="shared" si="13"/>
        <v>1</v>
      </c>
      <c r="AD78">
        <f t="shared" si="14"/>
        <v>71</v>
      </c>
      <c r="AE78" t="str">
        <f t="shared" si="15"/>
        <v>French Southern Territories</v>
      </c>
    </row>
    <row r="79" spans="1:54" ht="14.25" customHeight="1">
      <c r="Y79" t="s">
        <v>325</v>
      </c>
      <c r="Z79" t="s">
        <v>326</v>
      </c>
      <c r="AA79" t="s">
        <v>327</v>
      </c>
      <c r="AB79" t="s">
        <v>25</v>
      </c>
      <c r="AC79">
        <f t="shared" si="13"/>
        <v>1</v>
      </c>
      <c r="AD79">
        <f t="shared" si="14"/>
        <v>72</v>
      </c>
      <c r="AE79" t="str">
        <f t="shared" si="15"/>
        <v>Gabon</v>
      </c>
    </row>
    <row r="80" spans="1:54" ht="14.25" customHeight="1">
      <c r="Y80" t="s">
        <v>328</v>
      </c>
      <c r="Z80" t="s">
        <v>329</v>
      </c>
      <c r="AA80" t="s">
        <v>330</v>
      </c>
      <c r="AB80" t="s">
        <v>14</v>
      </c>
      <c r="AC80">
        <f t="shared" si="13"/>
        <v>1</v>
      </c>
      <c r="AD80">
        <f t="shared" si="14"/>
        <v>73</v>
      </c>
      <c r="AE80" t="str">
        <f t="shared" si="15"/>
        <v>Gambia</v>
      </c>
    </row>
    <row r="81" spans="25:31" ht="14.25" customHeight="1">
      <c r="Y81" t="s">
        <v>331</v>
      </c>
      <c r="Z81" t="s">
        <v>332</v>
      </c>
      <c r="AA81" t="s">
        <v>333</v>
      </c>
      <c r="AB81" t="s">
        <v>14</v>
      </c>
      <c r="AC81">
        <f t="shared" si="13"/>
        <v>1</v>
      </c>
      <c r="AD81">
        <f t="shared" si="14"/>
        <v>74</v>
      </c>
      <c r="AE81" t="str">
        <f t="shared" si="15"/>
        <v>Georgia</v>
      </c>
    </row>
    <row r="82" spans="25:31" ht="14.25" customHeight="1">
      <c r="Y82" t="s">
        <v>334</v>
      </c>
      <c r="Z82" t="s">
        <v>335</v>
      </c>
      <c r="AA82" t="s">
        <v>336</v>
      </c>
      <c r="AB82" t="s">
        <v>149</v>
      </c>
      <c r="AC82">
        <f t="shared" si="13"/>
        <v>1</v>
      </c>
      <c r="AD82">
        <f t="shared" si="14"/>
        <v>75</v>
      </c>
      <c r="AE82" t="str">
        <f t="shared" si="15"/>
        <v>Germany</v>
      </c>
    </row>
    <row r="83" spans="25:31" ht="14.25" customHeight="1">
      <c r="Y83" t="s">
        <v>337</v>
      </c>
      <c r="Z83" t="s">
        <v>338</v>
      </c>
      <c r="AA83" t="s">
        <v>339</v>
      </c>
      <c r="AB83" t="s">
        <v>25</v>
      </c>
      <c r="AC83">
        <f t="shared" si="13"/>
        <v>1</v>
      </c>
      <c r="AD83">
        <f t="shared" si="14"/>
        <v>76</v>
      </c>
      <c r="AE83" t="str">
        <f t="shared" si="15"/>
        <v>Germany, Former Democratic Republic</v>
      </c>
    </row>
    <row r="84" spans="25:31" ht="14.25" customHeight="1">
      <c r="Y84" t="s">
        <v>340</v>
      </c>
      <c r="Z84" t="s">
        <v>341</v>
      </c>
      <c r="AA84" t="s">
        <v>342</v>
      </c>
      <c r="AB84" t="s">
        <v>149</v>
      </c>
      <c r="AC84">
        <f t="shared" si="13"/>
        <v>1</v>
      </c>
      <c r="AD84">
        <f t="shared" si="14"/>
        <v>77</v>
      </c>
      <c r="AE84" t="str">
        <f t="shared" si="15"/>
        <v>Germany, Former Federal Republic</v>
      </c>
    </row>
    <row r="85" spans="25:31" ht="14.25" customHeight="1">
      <c r="Y85" t="s">
        <v>343</v>
      </c>
      <c r="Z85" t="s">
        <v>344</v>
      </c>
      <c r="AA85" t="s">
        <v>345</v>
      </c>
      <c r="AB85" t="s">
        <v>21</v>
      </c>
      <c r="AC85">
        <f t="shared" si="13"/>
        <v>1</v>
      </c>
      <c r="AD85">
        <f t="shared" si="14"/>
        <v>78</v>
      </c>
      <c r="AE85" t="str">
        <f t="shared" si="15"/>
        <v>Germany, West Berlin</v>
      </c>
    </row>
    <row r="86" spans="25:31" ht="14.25" customHeight="1">
      <c r="Y86" t="s">
        <v>346</v>
      </c>
      <c r="Z86" t="s">
        <v>347</v>
      </c>
      <c r="AA86" t="s">
        <v>348</v>
      </c>
      <c r="AB86" t="s">
        <v>21</v>
      </c>
      <c r="AC86">
        <f t="shared" si="13"/>
        <v>1</v>
      </c>
      <c r="AD86">
        <f t="shared" si="14"/>
        <v>79</v>
      </c>
      <c r="AE86" t="str">
        <f t="shared" si="15"/>
        <v>Ghana</v>
      </c>
    </row>
    <row r="87" spans="25:31" ht="14.25" customHeight="1">
      <c r="Y87" t="s">
        <v>349</v>
      </c>
      <c r="Z87" t="s">
        <v>350</v>
      </c>
      <c r="AA87" t="s">
        <v>351</v>
      </c>
      <c r="AB87" t="s">
        <v>14</v>
      </c>
      <c r="AC87">
        <f t="shared" si="13"/>
        <v>1</v>
      </c>
      <c r="AD87">
        <f t="shared" si="14"/>
        <v>80</v>
      </c>
      <c r="AE87" t="str">
        <f t="shared" si="15"/>
        <v>Gibraltar</v>
      </c>
    </row>
    <row r="88" spans="25:31" ht="14.25" customHeight="1">
      <c r="Y88" t="s">
        <v>352</v>
      </c>
      <c r="Z88" t="s">
        <v>353</v>
      </c>
      <c r="AA88" t="s">
        <v>354</v>
      </c>
      <c r="AB88" t="s">
        <v>14</v>
      </c>
      <c r="AC88">
        <f t="shared" si="13"/>
        <v>1</v>
      </c>
      <c r="AD88">
        <f t="shared" si="14"/>
        <v>81</v>
      </c>
      <c r="AE88" t="str">
        <f t="shared" si="15"/>
        <v>Greece</v>
      </c>
    </row>
    <row r="89" spans="25:31" ht="14.25" customHeight="1">
      <c r="Y89" t="s">
        <v>355</v>
      </c>
      <c r="Z89" t="s">
        <v>356</v>
      </c>
      <c r="AA89" t="s">
        <v>357</v>
      </c>
      <c r="AB89" t="s">
        <v>149</v>
      </c>
      <c r="AC89">
        <f t="shared" si="13"/>
        <v>1</v>
      </c>
      <c r="AD89">
        <f t="shared" si="14"/>
        <v>82</v>
      </c>
      <c r="AE89" t="str">
        <f t="shared" si="15"/>
        <v>Greenland</v>
      </c>
    </row>
    <row r="90" spans="25:31" ht="14.25" customHeight="1">
      <c r="Y90" t="s">
        <v>358</v>
      </c>
      <c r="Z90" t="s">
        <v>359</v>
      </c>
      <c r="AA90" t="s">
        <v>360</v>
      </c>
      <c r="AB90" t="s">
        <v>149</v>
      </c>
      <c r="AC90">
        <f t="shared" si="13"/>
        <v>1</v>
      </c>
      <c r="AD90">
        <f t="shared" si="14"/>
        <v>83</v>
      </c>
      <c r="AE90" t="str">
        <f t="shared" si="15"/>
        <v>Grenada</v>
      </c>
    </row>
    <row r="91" spans="25:31" ht="14.25" customHeight="1">
      <c r="Y91" t="s">
        <v>361</v>
      </c>
      <c r="Z91" t="s">
        <v>362</v>
      </c>
      <c r="AA91" t="s">
        <v>363</v>
      </c>
      <c r="AB91" t="s">
        <v>149</v>
      </c>
      <c r="AC91">
        <f t="shared" si="13"/>
        <v>1</v>
      </c>
      <c r="AD91">
        <f t="shared" si="14"/>
        <v>84</v>
      </c>
      <c r="AE91" t="str">
        <f t="shared" si="15"/>
        <v>Guadeloupe</v>
      </c>
    </row>
    <row r="92" spans="25:31" ht="14.25" customHeight="1">
      <c r="Y92" t="s">
        <v>364</v>
      </c>
      <c r="Z92" t="s">
        <v>365</v>
      </c>
      <c r="AA92" t="s">
        <v>366</v>
      </c>
      <c r="AB92" t="s">
        <v>21</v>
      </c>
      <c r="AC92">
        <f t="shared" si="13"/>
        <v>1</v>
      </c>
      <c r="AD92">
        <f t="shared" si="14"/>
        <v>85</v>
      </c>
      <c r="AE92" t="str">
        <f t="shared" si="15"/>
        <v>Guam</v>
      </c>
    </row>
    <row r="93" spans="25:31" ht="14.25" customHeight="1">
      <c r="Y93" t="s">
        <v>367</v>
      </c>
      <c r="Z93" t="s">
        <v>368</v>
      </c>
      <c r="AA93" t="s">
        <v>369</v>
      </c>
      <c r="AB93" t="s">
        <v>149</v>
      </c>
      <c r="AC93">
        <f t="shared" si="13"/>
        <v>1</v>
      </c>
      <c r="AD93">
        <f t="shared" si="14"/>
        <v>86</v>
      </c>
      <c r="AE93" t="str">
        <f t="shared" si="15"/>
        <v>Guatemala</v>
      </c>
    </row>
    <row r="94" spans="25:31" ht="14.25" customHeight="1">
      <c r="Y94" t="s">
        <v>370</v>
      </c>
      <c r="Z94" t="s">
        <v>371</v>
      </c>
      <c r="AA94" t="s">
        <v>372</v>
      </c>
      <c r="AB94" t="s">
        <v>14</v>
      </c>
      <c r="AC94">
        <f t="shared" si="13"/>
        <v>1</v>
      </c>
      <c r="AD94">
        <f t="shared" si="14"/>
        <v>87</v>
      </c>
      <c r="AE94" t="str">
        <f t="shared" si="15"/>
        <v>Guernsey</v>
      </c>
    </row>
    <row r="95" spans="25:31" ht="14.25" customHeight="1">
      <c r="Y95" t="s">
        <v>373</v>
      </c>
      <c r="Z95" t="s">
        <v>374</v>
      </c>
      <c r="AA95" t="s">
        <v>375</v>
      </c>
      <c r="AB95" t="s">
        <v>14</v>
      </c>
      <c r="AC95">
        <f t="shared" si="13"/>
        <v>1</v>
      </c>
      <c r="AD95">
        <f t="shared" si="14"/>
        <v>88</v>
      </c>
      <c r="AE95" t="str">
        <f t="shared" si="15"/>
        <v>Guinea</v>
      </c>
    </row>
    <row r="96" spans="25:31" ht="14.25" customHeight="1">
      <c r="Y96" t="s">
        <v>376</v>
      </c>
      <c r="Z96" t="s">
        <v>377</v>
      </c>
      <c r="AA96" t="s">
        <v>378</v>
      </c>
      <c r="AB96" t="s">
        <v>61</v>
      </c>
      <c r="AC96">
        <f t="shared" si="13"/>
        <v>1</v>
      </c>
      <c r="AD96">
        <f t="shared" si="14"/>
        <v>89</v>
      </c>
      <c r="AE96" t="str">
        <f t="shared" si="15"/>
        <v>Guinea-Bissau</v>
      </c>
    </row>
    <row r="97" spans="25:31" ht="14.25" customHeight="1">
      <c r="Y97" t="s">
        <v>379</v>
      </c>
      <c r="Z97" t="s">
        <v>380</v>
      </c>
      <c r="AA97" t="s">
        <v>381</v>
      </c>
      <c r="AB97" t="s">
        <v>149</v>
      </c>
      <c r="AC97">
        <f t="shared" si="13"/>
        <v>1</v>
      </c>
      <c r="AD97">
        <f t="shared" si="14"/>
        <v>90</v>
      </c>
      <c r="AE97" t="str">
        <f t="shared" si="15"/>
        <v>Guyana</v>
      </c>
    </row>
    <row r="98" spans="25:31" ht="14.25" customHeight="1">
      <c r="Y98" t="s">
        <v>382</v>
      </c>
      <c r="Z98" t="s">
        <v>383</v>
      </c>
      <c r="AA98" t="s">
        <v>384</v>
      </c>
      <c r="AB98" t="s">
        <v>25</v>
      </c>
      <c r="AC98">
        <f t="shared" si="13"/>
        <v>1</v>
      </c>
      <c r="AD98">
        <f t="shared" si="14"/>
        <v>91</v>
      </c>
      <c r="AE98" t="str">
        <f t="shared" si="15"/>
        <v>Haiti</v>
      </c>
    </row>
    <row r="99" spans="25:31" ht="14.25" customHeight="1">
      <c r="Y99" t="s">
        <v>385</v>
      </c>
      <c r="Z99" t="s">
        <v>386</v>
      </c>
      <c r="AA99" t="s">
        <v>387</v>
      </c>
      <c r="AB99" t="s">
        <v>61</v>
      </c>
      <c r="AC99">
        <f t="shared" si="13"/>
        <v>1</v>
      </c>
      <c r="AD99">
        <f t="shared" si="14"/>
        <v>92</v>
      </c>
      <c r="AE99" t="str">
        <f t="shared" si="15"/>
        <v>Heard Island and McDonald Islands</v>
      </c>
    </row>
    <row r="100" spans="25:31" ht="14.25" customHeight="1">
      <c r="Y100" t="s">
        <v>388</v>
      </c>
      <c r="Z100" t="s">
        <v>389</v>
      </c>
      <c r="AA100" t="s">
        <v>390</v>
      </c>
      <c r="AB100" t="s">
        <v>149</v>
      </c>
      <c r="AC100">
        <f t="shared" si="13"/>
        <v>1</v>
      </c>
      <c r="AD100">
        <f t="shared" si="14"/>
        <v>93</v>
      </c>
      <c r="AE100" t="str">
        <f t="shared" si="15"/>
        <v>Holy See</v>
      </c>
    </row>
    <row r="101" spans="25:31" ht="14.25" customHeight="1">
      <c r="Y101" t="s">
        <v>391</v>
      </c>
      <c r="Z101" t="s">
        <v>392</v>
      </c>
      <c r="AA101" t="s">
        <v>393</v>
      </c>
      <c r="AB101" t="s">
        <v>21</v>
      </c>
      <c r="AC101">
        <f t="shared" si="13"/>
        <v>1</v>
      </c>
      <c r="AD101">
        <f t="shared" si="14"/>
        <v>94</v>
      </c>
      <c r="AE101" t="str">
        <f t="shared" si="15"/>
        <v>Honduras</v>
      </c>
    </row>
    <row r="102" spans="25:31" ht="14.25" customHeight="1">
      <c r="Y102" t="s">
        <v>394</v>
      </c>
      <c r="Z102" t="s">
        <v>395</v>
      </c>
      <c r="AA102" t="s">
        <v>396</v>
      </c>
      <c r="AB102" t="s">
        <v>21</v>
      </c>
      <c r="AC102">
        <f t="shared" si="13"/>
        <v>1</v>
      </c>
      <c r="AD102">
        <f t="shared" si="14"/>
        <v>95</v>
      </c>
      <c r="AE102" t="str">
        <f t="shared" si="15"/>
        <v>Hungary</v>
      </c>
    </row>
    <row r="103" spans="25:31" ht="14.25" customHeight="1">
      <c r="Y103" t="s">
        <v>397</v>
      </c>
      <c r="Z103" t="s">
        <v>398</v>
      </c>
      <c r="AA103" t="s">
        <v>399</v>
      </c>
      <c r="AB103" t="s">
        <v>61</v>
      </c>
      <c r="AC103">
        <f t="shared" si="13"/>
        <v>1</v>
      </c>
      <c r="AD103">
        <f t="shared" si="14"/>
        <v>96</v>
      </c>
      <c r="AE103" t="str">
        <f t="shared" si="15"/>
        <v>Iceland</v>
      </c>
    </row>
    <row r="104" spans="25:31" ht="14.25" customHeight="1">
      <c r="Y104" t="s">
        <v>400</v>
      </c>
      <c r="Z104" t="s">
        <v>401</v>
      </c>
      <c r="AA104" t="s">
        <v>402</v>
      </c>
      <c r="AB104" t="s">
        <v>61</v>
      </c>
      <c r="AC104">
        <f t="shared" si="13"/>
        <v>1</v>
      </c>
      <c r="AD104">
        <f t="shared" si="14"/>
        <v>97</v>
      </c>
      <c r="AE104" t="str">
        <f t="shared" si="15"/>
        <v>India</v>
      </c>
    </row>
    <row r="105" spans="25:31" ht="14.25" customHeight="1">
      <c r="Y105" t="s">
        <v>403</v>
      </c>
      <c r="Z105" t="s">
        <v>404</v>
      </c>
      <c r="AA105" t="s">
        <v>405</v>
      </c>
      <c r="AB105" t="s">
        <v>149</v>
      </c>
      <c r="AC105">
        <f t="shared" si="13"/>
        <v>1</v>
      </c>
      <c r="AD105">
        <f t="shared" si="14"/>
        <v>98</v>
      </c>
      <c r="AE105" t="str">
        <f t="shared" si="15"/>
        <v>Indonesia</v>
      </c>
    </row>
    <row r="106" spans="25:31" ht="14.25" customHeight="1">
      <c r="Y106" t="s">
        <v>406</v>
      </c>
      <c r="Z106" t="s">
        <v>407</v>
      </c>
      <c r="AA106" t="s">
        <v>408</v>
      </c>
      <c r="AB106" t="s">
        <v>149</v>
      </c>
      <c r="AC106">
        <f t="shared" si="13"/>
        <v>1</v>
      </c>
      <c r="AD106">
        <f t="shared" si="14"/>
        <v>99</v>
      </c>
      <c r="AE106" t="str">
        <f t="shared" si="15"/>
        <v>Iran (Islamic Republic of)</v>
      </c>
    </row>
    <row r="107" spans="25:31" ht="14.25" customHeight="1">
      <c r="Y107" t="s">
        <v>409</v>
      </c>
      <c r="Z107" t="s">
        <v>410</v>
      </c>
      <c r="AA107" t="s">
        <v>411</v>
      </c>
      <c r="AB107" t="s">
        <v>61</v>
      </c>
      <c r="AC107">
        <f t="shared" si="13"/>
        <v>1</v>
      </c>
      <c r="AD107">
        <f t="shared" si="14"/>
        <v>100</v>
      </c>
      <c r="AE107" t="str">
        <f t="shared" si="15"/>
        <v>Iraq</v>
      </c>
    </row>
    <row r="108" spans="25:31" ht="14.25" customHeight="1">
      <c r="Y108" t="s">
        <v>412</v>
      </c>
      <c r="Z108" t="s">
        <v>413</v>
      </c>
      <c r="AA108" t="s">
        <v>414</v>
      </c>
      <c r="AB108" t="s">
        <v>14</v>
      </c>
      <c r="AC108">
        <f t="shared" si="13"/>
        <v>1</v>
      </c>
      <c r="AD108">
        <f t="shared" si="14"/>
        <v>101</v>
      </c>
      <c r="AE108" t="str">
        <f t="shared" si="15"/>
        <v>Ireland</v>
      </c>
    </row>
    <row r="109" spans="25:31" ht="14.25" customHeight="1">
      <c r="Y109" t="s">
        <v>415</v>
      </c>
      <c r="Z109" t="s">
        <v>416</v>
      </c>
      <c r="AA109" t="s">
        <v>417</v>
      </c>
      <c r="AB109" t="s">
        <v>14</v>
      </c>
      <c r="AC109">
        <f t="shared" si="13"/>
        <v>1</v>
      </c>
      <c r="AD109">
        <f t="shared" si="14"/>
        <v>102</v>
      </c>
      <c r="AE109" t="str">
        <f t="shared" si="15"/>
        <v>Isle of Man</v>
      </c>
    </row>
    <row r="110" spans="25:31" ht="14.25" customHeight="1">
      <c r="Y110" t="s">
        <v>418</v>
      </c>
      <c r="Z110" t="s">
        <v>419</v>
      </c>
      <c r="AA110" t="s">
        <v>420</v>
      </c>
      <c r="AB110" t="s">
        <v>108</v>
      </c>
      <c r="AC110">
        <f t="shared" si="13"/>
        <v>1</v>
      </c>
      <c r="AD110">
        <f t="shared" si="14"/>
        <v>103</v>
      </c>
      <c r="AE110" t="str">
        <f t="shared" si="15"/>
        <v>Israel</v>
      </c>
    </row>
    <row r="111" spans="25:31" ht="14.25" customHeight="1">
      <c r="Y111" t="s">
        <v>421</v>
      </c>
      <c r="Z111" t="s">
        <v>422</v>
      </c>
      <c r="AA111" t="s">
        <v>423</v>
      </c>
      <c r="AB111" t="s">
        <v>108</v>
      </c>
      <c r="AC111">
        <f t="shared" si="13"/>
        <v>1</v>
      </c>
      <c r="AD111">
        <f t="shared" si="14"/>
        <v>104</v>
      </c>
      <c r="AE111" t="str">
        <f t="shared" si="15"/>
        <v>Italy</v>
      </c>
    </row>
    <row r="112" spans="25:31" ht="14.25" customHeight="1">
      <c r="Y112" t="s">
        <v>424</v>
      </c>
      <c r="Z112" t="s">
        <v>425</v>
      </c>
      <c r="AA112" t="s">
        <v>426</v>
      </c>
      <c r="AB112" t="s">
        <v>10</v>
      </c>
      <c r="AC112">
        <f t="shared" si="13"/>
        <v>1</v>
      </c>
      <c r="AD112">
        <f t="shared" si="14"/>
        <v>105</v>
      </c>
      <c r="AE112" t="str">
        <f t="shared" si="15"/>
        <v>Jamaica</v>
      </c>
    </row>
    <row r="113" spans="25:31" ht="14.25" customHeight="1">
      <c r="Y113" t="s">
        <v>427</v>
      </c>
      <c r="Z113" t="s">
        <v>428</v>
      </c>
      <c r="AA113" t="s">
        <v>429</v>
      </c>
      <c r="AB113" t="s">
        <v>10</v>
      </c>
      <c r="AC113">
        <f t="shared" si="13"/>
        <v>1</v>
      </c>
      <c r="AD113">
        <f t="shared" si="14"/>
        <v>106</v>
      </c>
      <c r="AE113" t="str">
        <f t="shared" si="15"/>
        <v>Japan</v>
      </c>
    </row>
    <row r="114" spans="25:31" ht="14.25" customHeight="1">
      <c r="Y114" t="s">
        <v>430</v>
      </c>
      <c r="Z114" t="s">
        <v>431</v>
      </c>
      <c r="AA114" t="s">
        <v>432</v>
      </c>
      <c r="AB114" t="s">
        <v>14</v>
      </c>
      <c r="AC114">
        <f t="shared" si="13"/>
        <v>1</v>
      </c>
      <c r="AD114">
        <f t="shared" si="14"/>
        <v>107</v>
      </c>
      <c r="AE114" t="str">
        <f t="shared" si="15"/>
        <v>Jersey</v>
      </c>
    </row>
    <row r="115" spans="25:31" ht="14.25" customHeight="1">
      <c r="Y115" t="s">
        <v>433</v>
      </c>
      <c r="Z115" t="s">
        <v>434</v>
      </c>
      <c r="AA115" t="s">
        <v>435</v>
      </c>
      <c r="AB115" t="s">
        <v>149</v>
      </c>
      <c r="AC115">
        <f t="shared" si="13"/>
        <v>1</v>
      </c>
      <c r="AD115">
        <f t="shared" si="14"/>
        <v>108</v>
      </c>
      <c r="AE115" t="str">
        <f t="shared" si="15"/>
        <v>Jordan</v>
      </c>
    </row>
    <row r="116" spans="25:31" ht="14.25" customHeight="1">
      <c r="Y116" t="s">
        <v>436</v>
      </c>
      <c r="Z116" t="s">
        <v>437</v>
      </c>
      <c r="AA116" t="s">
        <v>438</v>
      </c>
      <c r="AB116" t="s">
        <v>14</v>
      </c>
      <c r="AC116">
        <f t="shared" si="13"/>
        <v>1</v>
      </c>
      <c r="AD116">
        <f t="shared" si="14"/>
        <v>109</v>
      </c>
      <c r="AE116" t="str">
        <f t="shared" si="15"/>
        <v>Kazakhstan</v>
      </c>
    </row>
    <row r="117" spans="25:31" ht="14.25" customHeight="1">
      <c r="Y117" t="s">
        <v>439</v>
      </c>
      <c r="Z117" t="s">
        <v>440</v>
      </c>
      <c r="AA117" t="s">
        <v>441</v>
      </c>
      <c r="AB117" t="s">
        <v>14</v>
      </c>
      <c r="AC117">
        <f t="shared" si="13"/>
        <v>1</v>
      </c>
      <c r="AD117">
        <f t="shared" si="14"/>
        <v>110</v>
      </c>
      <c r="AE117" t="str">
        <f t="shared" si="15"/>
        <v>Kenya</v>
      </c>
    </row>
    <row r="118" spans="25:31" ht="14.25" customHeight="1">
      <c r="Y118" t="s">
        <v>442</v>
      </c>
      <c r="Z118" t="s">
        <v>443</v>
      </c>
      <c r="AA118" t="s">
        <v>444</v>
      </c>
      <c r="AB118" t="s">
        <v>61</v>
      </c>
      <c r="AC118">
        <f t="shared" si="13"/>
        <v>1</v>
      </c>
      <c r="AD118">
        <f t="shared" si="14"/>
        <v>111</v>
      </c>
      <c r="AE118" t="str">
        <f t="shared" si="15"/>
        <v>Kiribati</v>
      </c>
    </row>
    <row r="119" spans="25:31" ht="14.25" customHeight="1">
      <c r="Y119" t="s">
        <v>445</v>
      </c>
      <c r="Z119" t="s">
        <v>446</v>
      </c>
      <c r="AA119" t="s">
        <v>447</v>
      </c>
      <c r="AB119" t="s">
        <v>25</v>
      </c>
      <c r="AC119">
        <f t="shared" si="13"/>
        <v>1</v>
      </c>
      <c r="AD119">
        <f t="shared" si="14"/>
        <v>112</v>
      </c>
      <c r="AE119" t="str">
        <f t="shared" si="15"/>
        <v>Kuwait</v>
      </c>
    </row>
    <row r="120" spans="25:31" ht="14.25" customHeight="1">
      <c r="Y120" t="s">
        <v>448</v>
      </c>
      <c r="Z120" t="s">
        <v>449</v>
      </c>
      <c r="AA120" t="s">
        <v>450</v>
      </c>
      <c r="AB120" t="s">
        <v>149</v>
      </c>
      <c r="AC120">
        <f t="shared" si="13"/>
        <v>1</v>
      </c>
      <c r="AD120">
        <f t="shared" si="14"/>
        <v>113</v>
      </c>
      <c r="AE120" t="str">
        <f t="shared" si="15"/>
        <v>Kyrgyzstan</v>
      </c>
    </row>
    <row r="121" spans="25:31" ht="14.25" customHeight="1">
      <c r="Y121" t="s">
        <v>451</v>
      </c>
      <c r="Z121" t="s">
        <v>452</v>
      </c>
      <c r="AA121" t="s">
        <v>453</v>
      </c>
      <c r="AB121" t="s">
        <v>10</v>
      </c>
      <c r="AC121">
        <f t="shared" si="13"/>
        <v>1</v>
      </c>
      <c r="AD121">
        <f t="shared" si="14"/>
        <v>114</v>
      </c>
      <c r="AE121" t="str">
        <f t="shared" si="15"/>
        <v>Lao People's Democratic Republic</v>
      </c>
    </row>
    <row r="122" spans="25:31" ht="14.25" customHeight="1">
      <c r="Y122" t="s">
        <v>454</v>
      </c>
      <c r="Z122" t="s">
        <v>455</v>
      </c>
      <c r="AA122" t="s">
        <v>456</v>
      </c>
      <c r="AB122" t="s">
        <v>14</v>
      </c>
      <c r="AC122">
        <f t="shared" si="13"/>
        <v>1</v>
      </c>
      <c r="AD122">
        <f t="shared" si="14"/>
        <v>115</v>
      </c>
      <c r="AE122" t="str">
        <f t="shared" si="15"/>
        <v>Latvia</v>
      </c>
    </row>
    <row r="123" spans="25:31" ht="14.25" customHeight="1">
      <c r="Y123" t="s">
        <v>457</v>
      </c>
      <c r="Z123" t="s">
        <v>458</v>
      </c>
      <c r="AA123" t="s">
        <v>459</v>
      </c>
      <c r="AB123" t="s">
        <v>21</v>
      </c>
      <c r="AC123">
        <f t="shared" si="13"/>
        <v>1</v>
      </c>
      <c r="AD123">
        <f t="shared" si="14"/>
        <v>116</v>
      </c>
      <c r="AE123" t="str">
        <f t="shared" si="15"/>
        <v>Lebanon</v>
      </c>
    </row>
    <row r="124" spans="25:31" ht="14.25" customHeight="1">
      <c r="Y124" t="s">
        <v>460</v>
      </c>
      <c r="Z124" t="s">
        <v>461</v>
      </c>
      <c r="AA124" t="s">
        <v>462</v>
      </c>
      <c r="AB124" t="s">
        <v>25</v>
      </c>
      <c r="AC124">
        <f t="shared" si="13"/>
        <v>1</v>
      </c>
      <c r="AD124">
        <f t="shared" si="14"/>
        <v>117</v>
      </c>
      <c r="AE124" t="str">
        <f t="shared" si="15"/>
        <v>Lesotho</v>
      </c>
    </row>
    <row r="125" spans="25:31" ht="14.25" customHeight="1">
      <c r="Y125" t="s">
        <v>463</v>
      </c>
      <c r="Z125" t="s">
        <v>464</v>
      </c>
      <c r="AA125" t="s">
        <v>465</v>
      </c>
      <c r="AB125" t="s">
        <v>10</v>
      </c>
      <c r="AC125">
        <f t="shared" si="13"/>
        <v>1</v>
      </c>
      <c r="AD125">
        <f t="shared" si="14"/>
        <v>118</v>
      </c>
      <c r="AE125" t="str">
        <f t="shared" si="15"/>
        <v>Liberia</v>
      </c>
    </row>
    <row r="126" spans="25:31" ht="14.25" customHeight="1">
      <c r="Y126" t="s">
        <v>466</v>
      </c>
      <c r="Z126" t="s">
        <v>467</v>
      </c>
      <c r="AA126" t="s">
        <v>468</v>
      </c>
      <c r="AB126" t="s">
        <v>14</v>
      </c>
      <c r="AC126">
        <f t="shared" si="13"/>
        <v>1</v>
      </c>
      <c r="AD126">
        <f t="shared" si="14"/>
        <v>119</v>
      </c>
      <c r="AE126" t="str">
        <f t="shared" si="15"/>
        <v>Libya</v>
      </c>
    </row>
    <row r="127" spans="25:31" ht="14.25" customHeight="1">
      <c r="Y127" t="s">
        <v>469</v>
      </c>
      <c r="Z127" t="s">
        <v>470</v>
      </c>
      <c r="AA127" t="s">
        <v>471</v>
      </c>
      <c r="AB127" t="s">
        <v>25</v>
      </c>
      <c r="AC127">
        <f t="shared" si="13"/>
        <v>1</v>
      </c>
      <c r="AD127">
        <f t="shared" si="14"/>
        <v>120</v>
      </c>
      <c r="AE127" t="str">
        <f t="shared" si="15"/>
        <v>Liechtenstein</v>
      </c>
    </row>
    <row r="128" spans="25:31" ht="14.25" customHeight="1">
      <c r="Y128" t="s">
        <v>472</v>
      </c>
      <c r="Z128" t="s">
        <v>473</v>
      </c>
      <c r="AA128" t="s">
        <v>474</v>
      </c>
      <c r="AB128" t="s">
        <v>14</v>
      </c>
      <c r="AC128">
        <f t="shared" si="13"/>
        <v>1</v>
      </c>
      <c r="AD128">
        <f t="shared" si="14"/>
        <v>121</v>
      </c>
      <c r="AE128" t="str">
        <f t="shared" si="15"/>
        <v>Lithuania</v>
      </c>
    </row>
    <row r="129" spans="25:31" ht="14.25" customHeight="1">
      <c r="Y129" t="s">
        <v>475</v>
      </c>
      <c r="Z129" t="s">
        <v>476</v>
      </c>
      <c r="AA129" t="s">
        <v>477</v>
      </c>
      <c r="AB129" t="s">
        <v>10</v>
      </c>
      <c r="AC129">
        <f t="shared" si="13"/>
        <v>1</v>
      </c>
      <c r="AD129">
        <f t="shared" si="14"/>
        <v>122</v>
      </c>
      <c r="AE129" t="str">
        <f t="shared" si="15"/>
        <v>Luxembourg</v>
      </c>
    </row>
    <row r="130" spans="25:31" ht="14.25" customHeight="1">
      <c r="Y130" t="s">
        <v>478</v>
      </c>
      <c r="Z130" t="s">
        <v>479</v>
      </c>
      <c r="AA130" t="s">
        <v>480</v>
      </c>
      <c r="AB130" t="s">
        <v>21</v>
      </c>
      <c r="AC130">
        <f t="shared" si="13"/>
        <v>1</v>
      </c>
      <c r="AD130">
        <f t="shared" si="14"/>
        <v>123</v>
      </c>
      <c r="AE130" t="str">
        <f t="shared" si="15"/>
        <v>Madagascar</v>
      </c>
    </row>
    <row r="131" spans="25:31" ht="14.25" customHeight="1">
      <c r="Y131" t="s">
        <v>481</v>
      </c>
      <c r="Z131" t="s">
        <v>482</v>
      </c>
      <c r="AA131" t="s">
        <v>483</v>
      </c>
      <c r="AB131" t="s">
        <v>21</v>
      </c>
      <c r="AC131">
        <f t="shared" si="13"/>
        <v>1</v>
      </c>
      <c r="AD131">
        <f t="shared" si="14"/>
        <v>124</v>
      </c>
      <c r="AE131" t="str">
        <f t="shared" si="15"/>
        <v>Malawi</v>
      </c>
    </row>
    <row r="132" spans="25:31" ht="14.25" customHeight="1">
      <c r="Y132" t="s">
        <v>484</v>
      </c>
      <c r="Z132" t="s">
        <v>485</v>
      </c>
      <c r="AA132" t="s">
        <v>486</v>
      </c>
      <c r="AB132" t="s">
        <v>10</v>
      </c>
      <c r="AC132">
        <f t="shared" si="13"/>
        <v>1</v>
      </c>
      <c r="AD132">
        <f t="shared" si="14"/>
        <v>125</v>
      </c>
      <c r="AE132" t="str">
        <f t="shared" si="15"/>
        <v>Malaysia</v>
      </c>
    </row>
    <row r="133" spans="25:31" ht="14.25" customHeight="1">
      <c r="Y133" t="s">
        <v>487</v>
      </c>
      <c r="Z133" t="s">
        <v>488</v>
      </c>
      <c r="AA133" t="s">
        <v>489</v>
      </c>
      <c r="AB133" t="s">
        <v>149</v>
      </c>
      <c r="AC133">
        <f t="shared" si="13"/>
        <v>1</v>
      </c>
      <c r="AD133">
        <f t="shared" si="14"/>
        <v>126</v>
      </c>
      <c r="AE133" t="str">
        <f t="shared" si="15"/>
        <v>Maldives</v>
      </c>
    </row>
    <row r="134" spans="25:31" ht="14.25" customHeight="1">
      <c r="Y134" t="s">
        <v>490</v>
      </c>
      <c r="Z134" t="s">
        <v>491</v>
      </c>
      <c r="AA134" t="s">
        <v>492</v>
      </c>
      <c r="AB134" t="s">
        <v>14</v>
      </c>
      <c r="AC134">
        <f t="shared" si="13"/>
        <v>1</v>
      </c>
      <c r="AD134">
        <f t="shared" si="14"/>
        <v>127</v>
      </c>
      <c r="AE134" t="str">
        <f t="shared" si="15"/>
        <v>Mali</v>
      </c>
    </row>
    <row r="135" spans="25:31" ht="14.25" customHeight="1">
      <c r="Y135" t="s">
        <v>493</v>
      </c>
      <c r="Z135" t="s">
        <v>494</v>
      </c>
      <c r="AA135" t="s">
        <v>495</v>
      </c>
      <c r="AB135" t="s">
        <v>14</v>
      </c>
      <c r="AC135">
        <f t="shared" si="13"/>
        <v>1</v>
      </c>
      <c r="AD135">
        <f t="shared" si="14"/>
        <v>128</v>
      </c>
      <c r="AE135" t="str">
        <f t="shared" si="15"/>
        <v>Malta</v>
      </c>
    </row>
    <row r="136" spans="25:31" ht="14.25" customHeight="1">
      <c r="Y136" t="s">
        <v>496</v>
      </c>
      <c r="Z136" t="s">
        <v>497</v>
      </c>
      <c r="AA136" t="s">
        <v>498</v>
      </c>
      <c r="AB136" t="s">
        <v>21</v>
      </c>
      <c r="AC136">
        <f t="shared" si="13"/>
        <v>1</v>
      </c>
      <c r="AD136">
        <f t="shared" si="14"/>
        <v>129</v>
      </c>
      <c r="AE136" t="str">
        <f t="shared" si="15"/>
        <v>Marshall Islands</v>
      </c>
    </row>
    <row r="137" spans="25:31" ht="14.25" customHeight="1">
      <c r="Y137" t="s">
        <v>499</v>
      </c>
      <c r="Z137" t="s">
        <v>500</v>
      </c>
      <c r="AA137" t="s">
        <v>501</v>
      </c>
      <c r="AB137" t="s">
        <v>21</v>
      </c>
      <c r="AC137">
        <f t="shared" si="13"/>
        <v>1</v>
      </c>
      <c r="AD137">
        <f t="shared" si="14"/>
        <v>130</v>
      </c>
      <c r="AE137" t="str">
        <f t="shared" si="15"/>
        <v>Martinique</v>
      </c>
    </row>
    <row r="138" spans="25:31" ht="14.25" customHeight="1">
      <c r="Y138" t="s">
        <v>502</v>
      </c>
      <c r="Z138" t="s">
        <v>503</v>
      </c>
      <c r="AA138" t="s">
        <v>504</v>
      </c>
      <c r="AB138" t="s">
        <v>25</v>
      </c>
      <c r="AC138">
        <f t="shared" si="13"/>
        <v>1</v>
      </c>
      <c r="AD138">
        <f t="shared" si="14"/>
        <v>131</v>
      </c>
      <c r="AE138" t="str">
        <f t="shared" si="15"/>
        <v>Mauritania</v>
      </c>
    </row>
    <row r="139" spans="25:31" ht="14.25" customHeight="1">
      <c r="Y139" t="s">
        <v>505</v>
      </c>
      <c r="Z139" t="s">
        <v>506</v>
      </c>
      <c r="AA139" t="s">
        <v>507</v>
      </c>
      <c r="AB139" t="s">
        <v>108</v>
      </c>
      <c r="AC139">
        <f t="shared" si="13"/>
        <v>1</v>
      </c>
      <c r="AD139">
        <f t="shared" si="14"/>
        <v>132</v>
      </c>
      <c r="AE139" t="str">
        <f t="shared" si="15"/>
        <v>Mauritius</v>
      </c>
    </row>
    <row r="140" spans="25:31" ht="14.25" customHeight="1">
      <c r="Y140" t="s">
        <v>508</v>
      </c>
      <c r="Z140" t="s">
        <v>509</v>
      </c>
      <c r="AA140" t="s">
        <v>510</v>
      </c>
      <c r="AB140" t="s">
        <v>21</v>
      </c>
      <c r="AC140">
        <f t="shared" si="13"/>
        <v>1</v>
      </c>
      <c r="AD140">
        <f t="shared" si="14"/>
        <v>133</v>
      </c>
      <c r="AE140" t="str">
        <f t="shared" si="15"/>
        <v>Mayotte</v>
      </c>
    </row>
    <row r="141" spans="25:31" ht="14.25" customHeight="1">
      <c r="Y141" t="s">
        <v>511</v>
      </c>
      <c r="Z141" t="s">
        <v>512</v>
      </c>
      <c r="AA141" t="s">
        <v>513</v>
      </c>
      <c r="AB141" t="s">
        <v>14</v>
      </c>
      <c r="AC141">
        <f t="shared" si="13"/>
        <v>1</v>
      </c>
      <c r="AD141">
        <f t="shared" si="14"/>
        <v>134</v>
      </c>
      <c r="AE141" t="str">
        <f t="shared" si="15"/>
        <v>Mexico</v>
      </c>
    </row>
    <row r="142" spans="25:31" ht="14.25" customHeight="1">
      <c r="Y142" t="s">
        <v>514</v>
      </c>
      <c r="Z142" t="s">
        <v>515</v>
      </c>
      <c r="AA142" t="s">
        <v>516</v>
      </c>
      <c r="AB142" t="s">
        <v>25</v>
      </c>
      <c r="AC142">
        <f t="shared" si="13"/>
        <v>1</v>
      </c>
      <c r="AD142">
        <f t="shared" si="14"/>
        <v>135</v>
      </c>
      <c r="AE142" t="str">
        <f t="shared" si="15"/>
        <v>Micronesia (Federated States of)</v>
      </c>
    </row>
    <row r="143" spans="25:31" ht="14.25" customHeight="1">
      <c r="Y143" t="s">
        <v>517</v>
      </c>
      <c r="Z143" t="s">
        <v>518</v>
      </c>
      <c r="AA143" t="s">
        <v>519</v>
      </c>
      <c r="AB143" t="s">
        <v>149</v>
      </c>
      <c r="AC143">
        <f t="shared" si="13"/>
        <v>1</v>
      </c>
      <c r="AD143">
        <f t="shared" si="14"/>
        <v>136</v>
      </c>
      <c r="AE143" t="str">
        <f t="shared" si="15"/>
        <v>Monaco</v>
      </c>
    </row>
    <row r="144" spans="25:31" ht="14.25" customHeight="1">
      <c r="Y144" t="s">
        <v>520</v>
      </c>
      <c r="Z144" t="s">
        <v>521</v>
      </c>
      <c r="AA144" t="s">
        <v>522</v>
      </c>
      <c r="AB144" t="s">
        <v>21</v>
      </c>
      <c r="AC144">
        <f t="shared" si="13"/>
        <v>1</v>
      </c>
      <c r="AD144">
        <f t="shared" si="14"/>
        <v>137</v>
      </c>
      <c r="AE144" t="str">
        <f t="shared" si="15"/>
        <v>Mongolia</v>
      </c>
    </row>
    <row r="145" spans="25:31" ht="14.25" customHeight="1">
      <c r="Y145" t="s">
        <v>523</v>
      </c>
      <c r="Z145" t="s">
        <v>524</v>
      </c>
      <c r="AA145" t="s">
        <v>525</v>
      </c>
      <c r="AB145" t="s">
        <v>21</v>
      </c>
      <c r="AC145">
        <f t="shared" si="13"/>
        <v>1</v>
      </c>
      <c r="AD145">
        <f t="shared" si="14"/>
        <v>138</v>
      </c>
      <c r="AE145" t="str">
        <f t="shared" si="15"/>
        <v>Montenegro</v>
      </c>
    </row>
    <row r="146" spans="25:31" ht="14.25" customHeight="1">
      <c r="Y146" t="s">
        <v>526</v>
      </c>
      <c r="Z146" t="s">
        <v>527</v>
      </c>
      <c r="AA146" t="s">
        <v>528</v>
      </c>
      <c r="AB146" t="s">
        <v>149</v>
      </c>
      <c r="AC146">
        <f t="shared" si="13"/>
        <v>1</v>
      </c>
      <c r="AD146">
        <f t="shared" si="14"/>
        <v>139</v>
      </c>
      <c r="AE146" t="str">
        <f t="shared" si="15"/>
        <v>Montserrat</v>
      </c>
    </row>
    <row r="147" spans="25:31" ht="14.25" customHeight="1">
      <c r="Y147" t="s">
        <v>529</v>
      </c>
      <c r="Z147" t="s">
        <v>530</v>
      </c>
      <c r="AA147" t="s">
        <v>531</v>
      </c>
      <c r="AB147" t="s">
        <v>61</v>
      </c>
      <c r="AC147">
        <f t="shared" si="13"/>
        <v>1</v>
      </c>
      <c r="AD147">
        <f t="shared" si="14"/>
        <v>140</v>
      </c>
      <c r="AE147" t="str">
        <f t="shared" si="15"/>
        <v>Morocco</v>
      </c>
    </row>
    <row r="148" spans="25:31" ht="14.25" customHeight="1">
      <c r="Y148" t="s">
        <v>532</v>
      </c>
      <c r="Z148" t="s">
        <v>533</v>
      </c>
      <c r="AA148" t="s">
        <v>534</v>
      </c>
      <c r="AB148" t="s">
        <v>25</v>
      </c>
      <c r="AC148">
        <f t="shared" si="13"/>
        <v>1</v>
      </c>
      <c r="AD148">
        <f t="shared" si="14"/>
        <v>141</v>
      </c>
      <c r="AE148" t="str">
        <f t="shared" si="15"/>
        <v>Mozambique</v>
      </c>
    </row>
    <row r="149" spans="25:31" ht="14.25" customHeight="1">
      <c r="Y149" t="s">
        <v>535</v>
      </c>
      <c r="Z149" t="s">
        <v>536</v>
      </c>
      <c r="AA149" t="s">
        <v>537</v>
      </c>
      <c r="AB149" t="s">
        <v>14</v>
      </c>
      <c r="AC149">
        <f t="shared" si="13"/>
        <v>1</v>
      </c>
      <c r="AD149">
        <f t="shared" si="14"/>
        <v>142</v>
      </c>
      <c r="AE149" t="str">
        <f t="shared" si="15"/>
        <v>Myanmar</v>
      </c>
    </row>
    <row r="150" spans="25:31" ht="14.25" customHeight="1">
      <c r="Y150" t="s">
        <v>538</v>
      </c>
      <c r="Z150" t="s">
        <v>539</v>
      </c>
      <c r="AA150" t="s">
        <v>540</v>
      </c>
      <c r="AB150" t="s">
        <v>25</v>
      </c>
      <c r="AC150">
        <f t="shared" si="13"/>
        <v>1</v>
      </c>
      <c r="AD150">
        <f t="shared" si="14"/>
        <v>143</v>
      </c>
      <c r="AE150" t="str">
        <f t="shared" si="15"/>
        <v>Namibia</v>
      </c>
    </row>
    <row r="151" spans="25:31" ht="14.25" customHeight="1">
      <c r="Y151" t="s">
        <v>541</v>
      </c>
      <c r="Z151" t="s">
        <v>542</v>
      </c>
      <c r="AA151" t="s">
        <v>543</v>
      </c>
      <c r="AB151" t="s">
        <v>14</v>
      </c>
      <c r="AC151">
        <f t="shared" si="13"/>
        <v>1</v>
      </c>
      <c r="AD151">
        <f t="shared" si="14"/>
        <v>144</v>
      </c>
      <c r="AE151" t="str">
        <f t="shared" si="15"/>
        <v>Nauru</v>
      </c>
    </row>
    <row r="152" spans="25:31" ht="14.25" customHeight="1">
      <c r="Y152" t="s">
        <v>544</v>
      </c>
      <c r="Z152" t="s">
        <v>545</v>
      </c>
      <c r="AA152" t="s">
        <v>546</v>
      </c>
      <c r="AB152" t="s">
        <v>61</v>
      </c>
      <c r="AC152">
        <f t="shared" si="13"/>
        <v>1</v>
      </c>
      <c r="AD152">
        <f t="shared" si="14"/>
        <v>145</v>
      </c>
      <c r="AE152" t="str">
        <f t="shared" si="15"/>
        <v>Nepal</v>
      </c>
    </row>
    <row r="153" spans="25:31" ht="14.25" customHeight="1">
      <c r="Y153" t="s">
        <v>547</v>
      </c>
      <c r="Z153" t="s">
        <v>548</v>
      </c>
      <c r="AA153" t="s">
        <v>549</v>
      </c>
      <c r="AB153" t="s">
        <v>10</v>
      </c>
      <c r="AC153">
        <f t="shared" si="13"/>
        <v>1</v>
      </c>
      <c r="AD153">
        <f t="shared" si="14"/>
        <v>146</v>
      </c>
      <c r="AE153" t="str">
        <f t="shared" si="15"/>
        <v>Netherlands</v>
      </c>
    </row>
    <row r="154" spans="25:31" ht="14.25" customHeight="1">
      <c r="Y154" t="s">
        <v>550</v>
      </c>
      <c r="Z154" t="s">
        <v>551</v>
      </c>
      <c r="AA154" t="s">
        <v>552</v>
      </c>
      <c r="AB154" t="s">
        <v>21</v>
      </c>
      <c r="AC154">
        <f t="shared" si="13"/>
        <v>1</v>
      </c>
      <c r="AD154">
        <f t="shared" si="14"/>
        <v>147</v>
      </c>
      <c r="AE154" t="str">
        <f t="shared" si="15"/>
        <v>Netherlands Antilles</v>
      </c>
    </row>
    <row r="155" spans="25:31" ht="14.25" customHeight="1">
      <c r="Y155" t="s">
        <v>553</v>
      </c>
      <c r="Z155" t="s">
        <v>554</v>
      </c>
      <c r="AA155" t="s">
        <v>555</v>
      </c>
      <c r="AB155" t="s">
        <v>108</v>
      </c>
      <c r="AC155">
        <f t="shared" si="13"/>
        <v>1</v>
      </c>
      <c r="AD155">
        <f t="shared" si="14"/>
        <v>148</v>
      </c>
      <c r="AE155" t="str">
        <f t="shared" si="15"/>
        <v>New Caledonia</v>
      </c>
    </row>
    <row r="156" spans="25:31" ht="14.25" customHeight="1">
      <c r="Y156" t="s">
        <v>556</v>
      </c>
      <c r="Z156" t="s">
        <v>557</v>
      </c>
      <c r="AA156" t="s">
        <v>558</v>
      </c>
      <c r="AB156" t="s">
        <v>21</v>
      </c>
      <c r="AC156">
        <f t="shared" si="13"/>
        <v>1</v>
      </c>
      <c r="AD156">
        <f t="shared" si="14"/>
        <v>149</v>
      </c>
      <c r="AE156" t="str">
        <f t="shared" si="15"/>
        <v>New Zealand</v>
      </c>
    </row>
    <row r="157" spans="25:31" ht="14.25" customHeight="1">
      <c r="Y157" t="s">
        <v>559</v>
      </c>
      <c r="Z157" t="s">
        <v>560</v>
      </c>
      <c r="AA157" t="s">
        <v>561</v>
      </c>
      <c r="AB157" t="s">
        <v>25</v>
      </c>
      <c r="AC157">
        <f t="shared" si="13"/>
        <v>1</v>
      </c>
      <c r="AD157">
        <f t="shared" si="14"/>
        <v>150</v>
      </c>
      <c r="AE157" t="str">
        <f t="shared" si="15"/>
        <v>Nicaragua</v>
      </c>
    </row>
    <row r="158" spans="25:31" ht="14.25" customHeight="1">
      <c r="Y158" t="s">
        <v>562</v>
      </c>
      <c r="Z158" t="s">
        <v>563</v>
      </c>
      <c r="AA158" t="s">
        <v>564</v>
      </c>
      <c r="AB158" t="s">
        <v>108</v>
      </c>
      <c r="AC158">
        <f t="shared" si="13"/>
        <v>1</v>
      </c>
      <c r="AD158">
        <f t="shared" si="14"/>
        <v>151</v>
      </c>
      <c r="AE158" t="str">
        <f t="shared" si="15"/>
        <v>Niger</v>
      </c>
    </row>
    <row r="159" spans="25:31" ht="14.25" customHeight="1">
      <c r="Y159" t="s">
        <v>565</v>
      </c>
      <c r="Z159" t="s">
        <v>566</v>
      </c>
      <c r="AA159" t="s">
        <v>567</v>
      </c>
      <c r="AB159" t="s">
        <v>14</v>
      </c>
      <c r="AC159">
        <f t="shared" si="13"/>
        <v>1</v>
      </c>
      <c r="AD159">
        <f t="shared" si="14"/>
        <v>152</v>
      </c>
      <c r="AE159" t="str">
        <f t="shared" si="15"/>
        <v>Nigeria</v>
      </c>
    </row>
    <row r="160" spans="25:31" ht="14.25" customHeight="1">
      <c r="Y160" t="s">
        <v>568</v>
      </c>
      <c r="Z160" t="s">
        <v>569</v>
      </c>
      <c r="AA160" t="s">
        <v>570</v>
      </c>
      <c r="AB160" t="s">
        <v>149</v>
      </c>
      <c r="AC160">
        <f t="shared" si="13"/>
        <v>1</v>
      </c>
      <c r="AD160">
        <f t="shared" si="14"/>
        <v>153</v>
      </c>
      <c r="AE160" t="str">
        <f t="shared" si="15"/>
        <v>Niue</v>
      </c>
    </row>
    <row r="161" spans="25:31" ht="14.25" customHeight="1">
      <c r="Y161" t="s">
        <v>571</v>
      </c>
      <c r="Z161" t="s">
        <v>572</v>
      </c>
      <c r="AA161" t="s">
        <v>573</v>
      </c>
      <c r="AB161" t="s">
        <v>25</v>
      </c>
      <c r="AC161">
        <f t="shared" si="13"/>
        <v>1</v>
      </c>
      <c r="AD161">
        <f t="shared" si="14"/>
        <v>154</v>
      </c>
      <c r="AE161" t="str">
        <f t="shared" si="15"/>
        <v>Norfolk Island</v>
      </c>
    </row>
    <row r="162" spans="25:31" ht="14.25" customHeight="1">
      <c r="Y162" t="s">
        <v>574</v>
      </c>
      <c r="Z162" t="s">
        <v>575</v>
      </c>
      <c r="AA162" t="s">
        <v>576</v>
      </c>
      <c r="AB162" t="s">
        <v>25</v>
      </c>
      <c r="AC162">
        <f t="shared" si="13"/>
        <v>1</v>
      </c>
      <c r="AD162">
        <f t="shared" si="14"/>
        <v>155</v>
      </c>
      <c r="AE162" t="str">
        <f t="shared" si="15"/>
        <v>North Macedonia</v>
      </c>
    </row>
    <row r="163" spans="25:31" ht="14.25" customHeight="1">
      <c r="Y163" t="s">
        <v>577</v>
      </c>
      <c r="Z163" t="s">
        <v>578</v>
      </c>
      <c r="AA163" t="s">
        <v>579</v>
      </c>
      <c r="AB163" t="s">
        <v>61</v>
      </c>
      <c r="AC163">
        <f t="shared" si="13"/>
        <v>1</v>
      </c>
      <c r="AD163">
        <f t="shared" si="14"/>
        <v>156</v>
      </c>
      <c r="AE163" t="str">
        <f t="shared" si="15"/>
        <v>Northern Mariana Islands</v>
      </c>
    </row>
    <row r="164" spans="25:31" ht="14.25" customHeight="1">
      <c r="Y164" t="s">
        <v>580</v>
      </c>
      <c r="Z164" t="s">
        <v>581</v>
      </c>
      <c r="AA164" t="s">
        <v>582</v>
      </c>
      <c r="AB164" t="s">
        <v>21</v>
      </c>
      <c r="AC164">
        <f t="shared" si="13"/>
        <v>1</v>
      </c>
      <c r="AD164">
        <f t="shared" si="14"/>
        <v>157</v>
      </c>
      <c r="AE164" t="str">
        <f t="shared" si="15"/>
        <v>Norway</v>
      </c>
    </row>
    <row r="165" spans="25:31" ht="14.25" customHeight="1">
      <c r="Y165" t="s">
        <v>583</v>
      </c>
      <c r="Z165" t="s">
        <v>584</v>
      </c>
      <c r="AA165" t="s">
        <v>585</v>
      </c>
      <c r="AB165" t="s">
        <v>21</v>
      </c>
      <c r="AC165">
        <f t="shared" si="13"/>
        <v>1</v>
      </c>
      <c r="AD165">
        <f t="shared" si="14"/>
        <v>158</v>
      </c>
      <c r="AE165" t="str">
        <f t="shared" si="15"/>
        <v>Oman</v>
      </c>
    </row>
    <row r="166" spans="25:31" ht="14.25" customHeight="1">
      <c r="Y166" t="s">
        <v>586</v>
      </c>
      <c r="Z166" t="s">
        <v>587</v>
      </c>
      <c r="AA166" t="s">
        <v>588</v>
      </c>
      <c r="AB166" t="s">
        <v>25</v>
      </c>
      <c r="AC166">
        <f t="shared" si="13"/>
        <v>1</v>
      </c>
      <c r="AD166">
        <f t="shared" si="14"/>
        <v>159</v>
      </c>
      <c r="AE166" t="str">
        <f t="shared" si="15"/>
        <v>Pakistan</v>
      </c>
    </row>
    <row r="167" spans="25:31" ht="14.25" customHeight="1">
      <c r="Y167" t="s">
        <v>589</v>
      </c>
      <c r="Z167" t="s">
        <v>590</v>
      </c>
      <c r="AA167" t="s">
        <v>591</v>
      </c>
      <c r="AB167" t="s">
        <v>149</v>
      </c>
      <c r="AC167">
        <f t="shared" si="13"/>
        <v>1</v>
      </c>
      <c r="AD167">
        <f t="shared" si="14"/>
        <v>160</v>
      </c>
      <c r="AE167" t="str">
        <f t="shared" si="15"/>
        <v>Palau</v>
      </c>
    </row>
    <row r="168" spans="25:31" ht="14.25" customHeight="1">
      <c r="Y168" t="s">
        <v>592</v>
      </c>
      <c r="Z168" t="s">
        <v>593</v>
      </c>
      <c r="AA168" t="s">
        <v>594</v>
      </c>
      <c r="AB168" t="s">
        <v>14</v>
      </c>
      <c r="AC168">
        <f t="shared" si="13"/>
        <v>1</v>
      </c>
      <c r="AD168">
        <f t="shared" si="14"/>
        <v>161</v>
      </c>
      <c r="AE168" t="str">
        <f t="shared" si="15"/>
        <v>Panama</v>
      </c>
    </row>
    <row r="169" spans="25:31" ht="14.25" customHeight="1">
      <c r="Y169" t="s">
        <v>595</v>
      </c>
      <c r="Z169" t="s">
        <v>596</v>
      </c>
      <c r="AA169" t="s">
        <v>597</v>
      </c>
      <c r="AB169" t="s">
        <v>25</v>
      </c>
      <c r="AC169">
        <f t="shared" si="13"/>
        <v>1</v>
      </c>
      <c r="AD169">
        <f t="shared" si="14"/>
        <v>162</v>
      </c>
      <c r="AE169" t="str">
        <f t="shared" si="15"/>
        <v>Papua New Guinea</v>
      </c>
    </row>
    <row r="170" spans="25:31" ht="14.25" customHeight="1">
      <c r="Y170" t="s">
        <v>598</v>
      </c>
      <c r="Z170" t="s">
        <v>599</v>
      </c>
      <c r="AA170" t="s">
        <v>600</v>
      </c>
      <c r="AB170" t="s">
        <v>14</v>
      </c>
      <c r="AC170">
        <f t="shared" si="13"/>
        <v>1</v>
      </c>
      <c r="AD170">
        <f t="shared" si="14"/>
        <v>163</v>
      </c>
      <c r="AE170" t="str">
        <f t="shared" si="15"/>
        <v>Paraguay</v>
      </c>
    </row>
    <row r="171" spans="25:31" ht="14.25" customHeight="1">
      <c r="Y171" t="s">
        <v>601</v>
      </c>
      <c r="Z171" t="s">
        <v>602</v>
      </c>
      <c r="AA171" t="s">
        <v>603</v>
      </c>
      <c r="AB171" t="s">
        <v>10</v>
      </c>
      <c r="AC171">
        <f t="shared" si="13"/>
        <v>1</v>
      </c>
      <c r="AD171">
        <f t="shared" si="14"/>
        <v>164</v>
      </c>
      <c r="AE171" t="str">
        <f t="shared" si="15"/>
        <v>Peru</v>
      </c>
    </row>
    <row r="172" spans="25:31" ht="14.25" customHeight="1">
      <c r="Y172" t="s">
        <v>604</v>
      </c>
      <c r="Z172" t="s">
        <v>605</v>
      </c>
      <c r="AA172" t="s">
        <v>606</v>
      </c>
      <c r="AB172" t="s">
        <v>10</v>
      </c>
      <c r="AC172">
        <f t="shared" si="13"/>
        <v>1</v>
      </c>
      <c r="AD172">
        <f t="shared" si="14"/>
        <v>165</v>
      </c>
      <c r="AE172" t="str">
        <f t="shared" si="15"/>
        <v>Philippines</v>
      </c>
    </row>
    <row r="173" spans="25:31" ht="14.25" customHeight="1">
      <c r="Y173" t="s">
        <v>607</v>
      </c>
      <c r="Z173" t="s">
        <v>608</v>
      </c>
      <c r="AA173" t="s">
        <v>609</v>
      </c>
      <c r="AB173" t="s">
        <v>25</v>
      </c>
      <c r="AC173">
        <f t="shared" si="13"/>
        <v>1</v>
      </c>
      <c r="AD173">
        <f t="shared" si="14"/>
        <v>166</v>
      </c>
      <c r="AE173" t="str">
        <f t="shared" si="15"/>
        <v>Pitcairn</v>
      </c>
    </row>
    <row r="174" spans="25:31" ht="14.25" customHeight="1">
      <c r="Y174" t="s">
        <v>610</v>
      </c>
      <c r="Z174" t="s">
        <v>611</v>
      </c>
      <c r="AA174" t="s">
        <v>612</v>
      </c>
      <c r="AB174" t="s">
        <v>61</v>
      </c>
      <c r="AC174">
        <f t="shared" si="13"/>
        <v>1</v>
      </c>
      <c r="AD174">
        <f t="shared" si="14"/>
        <v>167</v>
      </c>
      <c r="AE174" t="str">
        <f t="shared" si="15"/>
        <v>Poland</v>
      </c>
    </row>
    <row r="175" spans="25:31" ht="14.25" customHeight="1">
      <c r="Y175" t="s">
        <v>613</v>
      </c>
      <c r="Z175" t="s">
        <v>614</v>
      </c>
      <c r="AA175" t="s">
        <v>615</v>
      </c>
      <c r="AB175" t="s">
        <v>25</v>
      </c>
      <c r="AC175">
        <f t="shared" si="13"/>
        <v>1</v>
      </c>
      <c r="AD175">
        <f t="shared" si="14"/>
        <v>168</v>
      </c>
      <c r="AE175" t="str">
        <f t="shared" si="15"/>
        <v>Portugal</v>
      </c>
    </row>
    <row r="176" spans="25:31" ht="14.25" customHeight="1">
      <c r="Y176" t="s">
        <v>616</v>
      </c>
      <c r="Z176" t="s">
        <v>617</v>
      </c>
      <c r="AA176" t="s">
        <v>618</v>
      </c>
      <c r="AB176" t="s">
        <v>61</v>
      </c>
      <c r="AC176">
        <f t="shared" si="13"/>
        <v>1</v>
      </c>
      <c r="AD176">
        <f t="shared" si="14"/>
        <v>169</v>
      </c>
      <c r="AE176" t="str">
        <f t="shared" si="15"/>
        <v>Puerto Rico</v>
      </c>
    </row>
    <row r="177" spans="25:31" ht="14.25" customHeight="1">
      <c r="Y177" t="s">
        <v>619</v>
      </c>
      <c r="Z177" t="s">
        <v>620</v>
      </c>
      <c r="AA177" t="s">
        <v>621</v>
      </c>
      <c r="AB177" t="s">
        <v>61</v>
      </c>
      <c r="AC177">
        <f t="shared" si="13"/>
        <v>1</v>
      </c>
      <c r="AD177">
        <f t="shared" si="14"/>
        <v>170</v>
      </c>
      <c r="AE177" t="str">
        <f t="shared" si="15"/>
        <v>Qatar</v>
      </c>
    </row>
    <row r="178" spans="25:31" ht="14.25" customHeight="1">
      <c r="Y178" t="s">
        <v>622</v>
      </c>
      <c r="Z178" t="s">
        <v>623</v>
      </c>
      <c r="AA178" t="s">
        <v>624</v>
      </c>
      <c r="AB178" t="s">
        <v>25</v>
      </c>
      <c r="AC178">
        <f t="shared" si="13"/>
        <v>1</v>
      </c>
      <c r="AD178">
        <f t="shared" si="14"/>
        <v>171</v>
      </c>
      <c r="AE178" t="str">
        <f t="shared" si="15"/>
        <v>Republic of Korea</v>
      </c>
    </row>
    <row r="179" spans="25:31" ht="14.25" customHeight="1">
      <c r="Y179" t="s">
        <v>625</v>
      </c>
      <c r="Z179" t="s">
        <v>626</v>
      </c>
      <c r="AA179" t="s">
        <v>627</v>
      </c>
      <c r="AB179" t="s">
        <v>149</v>
      </c>
      <c r="AC179">
        <f t="shared" si="13"/>
        <v>1</v>
      </c>
      <c r="AD179">
        <f t="shared" si="14"/>
        <v>172</v>
      </c>
      <c r="AE179" t="str">
        <f t="shared" si="15"/>
        <v>Republic of Moldova</v>
      </c>
    </row>
    <row r="180" spans="25:31" ht="14.25" customHeight="1">
      <c r="Y180" t="s">
        <v>628</v>
      </c>
      <c r="Z180" t="s">
        <v>629</v>
      </c>
      <c r="AA180" t="s">
        <v>630</v>
      </c>
      <c r="AB180" t="s">
        <v>14</v>
      </c>
      <c r="AC180">
        <f t="shared" si="13"/>
        <v>1</v>
      </c>
      <c r="AD180">
        <f t="shared" si="14"/>
        <v>173</v>
      </c>
      <c r="AE180" t="str">
        <f t="shared" si="15"/>
        <v>Rodrigues</v>
      </c>
    </row>
    <row r="181" spans="25:31" ht="14.25" customHeight="1">
      <c r="Y181" t="s">
        <v>631</v>
      </c>
      <c r="Z181" t="s">
        <v>632</v>
      </c>
      <c r="AA181" t="s">
        <v>633</v>
      </c>
      <c r="AB181" t="s">
        <v>14</v>
      </c>
      <c r="AC181">
        <f t="shared" si="13"/>
        <v>1</v>
      </c>
      <c r="AD181">
        <f t="shared" si="14"/>
        <v>174</v>
      </c>
      <c r="AE181" t="str">
        <f t="shared" si="15"/>
        <v>Romania</v>
      </c>
    </row>
    <row r="182" spans="25:31" ht="14.25" customHeight="1">
      <c r="Y182" t="s">
        <v>634</v>
      </c>
      <c r="Z182" t="s">
        <v>635</v>
      </c>
      <c r="AA182" t="s">
        <v>636</v>
      </c>
      <c r="AB182" t="s">
        <v>61</v>
      </c>
      <c r="AC182">
        <f t="shared" si="13"/>
        <v>1</v>
      </c>
      <c r="AD182">
        <f t="shared" si="14"/>
        <v>175</v>
      </c>
      <c r="AE182" t="str">
        <f t="shared" si="15"/>
        <v>Russian Federation</v>
      </c>
    </row>
    <row r="183" spans="25:31" ht="14.25" customHeight="1">
      <c r="Y183" t="s">
        <v>637</v>
      </c>
      <c r="Z183" t="s">
        <v>638</v>
      </c>
      <c r="AA183" t="s">
        <v>639</v>
      </c>
      <c r="AB183" t="s">
        <v>10</v>
      </c>
      <c r="AC183">
        <f t="shared" si="13"/>
        <v>1</v>
      </c>
      <c r="AD183">
        <f t="shared" si="14"/>
        <v>176</v>
      </c>
      <c r="AE183" t="str">
        <f t="shared" si="15"/>
        <v>Rwanda</v>
      </c>
    </row>
    <row r="184" spans="25:31" ht="14.25" customHeight="1">
      <c r="Y184" t="s">
        <v>640</v>
      </c>
      <c r="Z184" t="s">
        <v>641</v>
      </c>
      <c r="AA184" t="s">
        <v>642</v>
      </c>
      <c r="AB184" t="s">
        <v>25</v>
      </c>
      <c r="AC184">
        <f t="shared" si="13"/>
        <v>1</v>
      </c>
      <c r="AD184">
        <f t="shared" si="14"/>
        <v>177</v>
      </c>
      <c r="AE184" t="str">
        <f t="shared" si="15"/>
        <v>Ryu Kyu Islands</v>
      </c>
    </row>
    <row r="185" spans="25:31" ht="14.25" customHeight="1">
      <c r="Y185" t="s">
        <v>643</v>
      </c>
      <c r="Z185" t="s">
        <v>644</v>
      </c>
      <c r="AA185" t="s">
        <v>645</v>
      </c>
      <c r="AB185" t="s">
        <v>14</v>
      </c>
      <c r="AC185">
        <f t="shared" si="13"/>
        <v>1</v>
      </c>
      <c r="AD185">
        <f t="shared" si="14"/>
        <v>178</v>
      </c>
      <c r="AE185" t="str">
        <f t="shared" si="15"/>
        <v>Réunion</v>
      </c>
    </row>
    <row r="186" spans="25:31" ht="14.25" customHeight="1">
      <c r="Y186" t="s">
        <v>646</v>
      </c>
      <c r="Z186" t="s">
        <v>647</v>
      </c>
      <c r="AA186" t="s">
        <v>648</v>
      </c>
      <c r="AB186" t="s">
        <v>149</v>
      </c>
      <c r="AC186">
        <f t="shared" si="13"/>
        <v>1</v>
      </c>
      <c r="AD186">
        <f t="shared" si="14"/>
        <v>179</v>
      </c>
      <c r="AE186" t="str">
        <f t="shared" si="15"/>
        <v>Saint Barthélemy</v>
      </c>
    </row>
    <row r="187" spans="25:31" ht="14.25" customHeight="1">
      <c r="Y187" t="s">
        <v>649</v>
      </c>
      <c r="Z187" t="s">
        <v>650</v>
      </c>
      <c r="AA187" t="s">
        <v>651</v>
      </c>
      <c r="AB187" t="s">
        <v>14</v>
      </c>
      <c r="AC187">
        <f t="shared" si="13"/>
        <v>1</v>
      </c>
      <c r="AD187">
        <f t="shared" si="14"/>
        <v>180</v>
      </c>
      <c r="AE187" t="str">
        <f t="shared" si="15"/>
        <v>Saint Helena</v>
      </c>
    </row>
    <row r="188" spans="25:31" ht="14.25" customHeight="1">
      <c r="Y188" t="s">
        <v>652</v>
      </c>
      <c r="Z188" t="s">
        <v>653</v>
      </c>
      <c r="AA188" t="s">
        <v>654</v>
      </c>
      <c r="AB188" t="s">
        <v>14</v>
      </c>
      <c r="AC188">
        <f t="shared" si="13"/>
        <v>1</v>
      </c>
      <c r="AD188">
        <f t="shared" si="14"/>
        <v>181</v>
      </c>
      <c r="AE188" t="str">
        <f t="shared" si="15"/>
        <v>Saint Kitts and Nevis</v>
      </c>
    </row>
    <row r="189" spans="25:31" ht="14.25" customHeight="1">
      <c r="Y189" t="s">
        <v>655</v>
      </c>
      <c r="Z189" t="s">
        <v>656</v>
      </c>
      <c r="AA189" t="s">
        <v>657</v>
      </c>
      <c r="AB189" t="s">
        <v>21</v>
      </c>
      <c r="AC189">
        <f t="shared" si="13"/>
        <v>1</v>
      </c>
      <c r="AD189">
        <f t="shared" si="14"/>
        <v>182</v>
      </c>
      <c r="AE189" t="str">
        <f t="shared" si="15"/>
        <v>Saint Lucia</v>
      </c>
    </row>
    <row r="190" spans="25:31" ht="14.25" customHeight="1">
      <c r="Y190" t="s">
        <v>658</v>
      </c>
      <c r="Z190" t="s">
        <v>659</v>
      </c>
      <c r="AA190" t="s">
        <v>660</v>
      </c>
      <c r="AB190" t="s">
        <v>149</v>
      </c>
      <c r="AC190">
        <f t="shared" si="13"/>
        <v>1</v>
      </c>
      <c r="AD190">
        <f t="shared" si="14"/>
        <v>183</v>
      </c>
      <c r="AE190" t="str">
        <f t="shared" si="15"/>
        <v>Saint Martin (French part)</v>
      </c>
    </row>
    <row r="191" spans="25:31" ht="14.25" customHeight="1">
      <c r="Y191" t="s">
        <v>661</v>
      </c>
      <c r="Z191" t="s">
        <v>662</v>
      </c>
      <c r="AA191" t="s">
        <v>663</v>
      </c>
      <c r="AB191" t="s">
        <v>149</v>
      </c>
      <c r="AC191">
        <f t="shared" si="13"/>
        <v>1</v>
      </c>
      <c r="AD191">
        <f t="shared" si="14"/>
        <v>184</v>
      </c>
      <c r="AE191" t="str">
        <f t="shared" si="15"/>
        <v>Saint Pierre and Miquelon</v>
      </c>
    </row>
    <row r="192" spans="25:31" ht="14.25" customHeight="1">
      <c r="Y192" t="s">
        <v>664</v>
      </c>
      <c r="Z192" t="s">
        <v>665</v>
      </c>
      <c r="AA192" t="s">
        <v>666</v>
      </c>
      <c r="AB192" t="s">
        <v>149</v>
      </c>
      <c r="AC192">
        <f t="shared" si="13"/>
        <v>1</v>
      </c>
      <c r="AD192">
        <f t="shared" si="14"/>
        <v>185</v>
      </c>
      <c r="AE192" t="str">
        <f t="shared" si="15"/>
        <v>Saint Vincent and the Grenadines</v>
      </c>
    </row>
    <row r="193" spans="25:31" ht="14.25" customHeight="1">
      <c r="Y193" t="s">
        <v>667</v>
      </c>
      <c r="Z193" t="s">
        <v>668</v>
      </c>
      <c r="AA193" t="s">
        <v>669</v>
      </c>
      <c r="AB193" t="s">
        <v>149</v>
      </c>
      <c r="AC193">
        <f t="shared" si="13"/>
        <v>1</v>
      </c>
      <c r="AD193">
        <f t="shared" si="14"/>
        <v>186</v>
      </c>
      <c r="AE193" t="str">
        <f t="shared" si="15"/>
        <v>Samoa</v>
      </c>
    </row>
    <row r="194" spans="25:31" ht="14.25" customHeight="1">
      <c r="Y194" t="s">
        <v>670</v>
      </c>
      <c r="Z194" t="s">
        <v>671</v>
      </c>
      <c r="AA194" t="s">
        <v>672</v>
      </c>
      <c r="AB194" t="s">
        <v>61</v>
      </c>
      <c r="AC194">
        <f t="shared" si="13"/>
        <v>1</v>
      </c>
      <c r="AD194">
        <f t="shared" si="14"/>
        <v>187</v>
      </c>
      <c r="AE194" t="str">
        <f t="shared" si="15"/>
        <v>San Marino</v>
      </c>
    </row>
    <row r="195" spans="25:31" ht="14.25" customHeight="1">
      <c r="Y195" t="s">
        <v>673</v>
      </c>
      <c r="Z195" t="s">
        <v>674</v>
      </c>
      <c r="AA195" t="s">
        <v>675</v>
      </c>
      <c r="AB195" t="s">
        <v>61</v>
      </c>
      <c r="AC195">
        <f t="shared" si="13"/>
        <v>1</v>
      </c>
      <c r="AD195">
        <f t="shared" si="14"/>
        <v>188</v>
      </c>
      <c r="AE195" t="str">
        <f t="shared" si="15"/>
        <v>Sao Tome and Principe</v>
      </c>
    </row>
    <row r="196" spans="25:31" ht="14.25" customHeight="1">
      <c r="Y196" t="s">
        <v>676</v>
      </c>
      <c r="Z196" t="s">
        <v>677</v>
      </c>
      <c r="AA196" t="s">
        <v>678</v>
      </c>
      <c r="AB196" t="s">
        <v>149</v>
      </c>
      <c r="AC196">
        <f t="shared" si="13"/>
        <v>1</v>
      </c>
      <c r="AD196">
        <f t="shared" si="14"/>
        <v>189</v>
      </c>
      <c r="AE196" t="str">
        <f t="shared" si="15"/>
        <v>Saudi Arabia</v>
      </c>
    </row>
    <row r="197" spans="25:31" ht="14.25" customHeight="1">
      <c r="Y197" t="s">
        <v>679</v>
      </c>
      <c r="Z197" t="s">
        <v>680</v>
      </c>
      <c r="AA197" t="s">
        <v>681</v>
      </c>
      <c r="AB197" t="s">
        <v>149</v>
      </c>
      <c r="AC197">
        <f t="shared" si="13"/>
        <v>1</v>
      </c>
      <c r="AD197">
        <f t="shared" si="14"/>
        <v>190</v>
      </c>
      <c r="AE197" t="str">
        <f t="shared" si="15"/>
        <v>Senegal</v>
      </c>
    </row>
    <row r="198" spans="25:31" ht="14.25" customHeight="1">
      <c r="Y198" t="s">
        <v>682</v>
      </c>
      <c r="Z198" t="s">
        <v>683</v>
      </c>
      <c r="AA198" t="s">
        <v>684</v>
      </c>
      <c r="AB198" t="s">
        <v>61</v>
      </c>
      <c r="AC198">
        <f t="shared" si="13"/>
        <v>1</v>
      </c>
      <c r="AD198">
        <f t="shared" si="14"/>
        <v>191</v>
      </c>
      <c r="AE198" t="str">
        <f t="shared" si="15"/>
        <v>Serbia</v>
      </c>
    </row>
    <row r="199" spans="25:31" ht="14.25" customHeight="1">
      <c r="Y199" t="s">
        <v>685</v>
      </c>
      <c r="Z199" t="s">
        <v>686</v>
      </c>
      <c r="AA199" t="s">
        <v>687</v>
      </c>
      <c r="AB199" t="s">
        <v>25</v>
      </c>
      <c r="AC199">
        <f t="shared" si="13"/>
        <v>1</v>
      </c>
      <c r="AD199">
        <f t="shared" si="14"/>
        <v>192</v>
      </c>
      <c r="AE199" t="str">
        <f t="shared" si="15"/>
        <v>Serbia and Montenegro, Former</v>
      </c>
    </row>
    <row r="200" spans="25:31" ht="14.25" customHeight="1">
      <c r="Y200" t="s">
        <v>688</v>
      </c>
      <c r="Z200" t="s">
        <v>689</v>
      </c>
      <c r="AA200" t="s">
        <v>690</v>
      </c>
      <c r="AB200" t="s">
        <v>14</v>
      </c>
      <c r="AC200">
        <f t="shared" si="13"/>
        <v>1</v>
      </c>
      <c r="AD200">
        <f t="shared" si="14"/>
        <v>193</v>
      </c>
      <c r="AE200" t="str">
        <f t="shared" si="15"/>
        <v>Seychelles</v>
      </c>
    </row>
    <row r="201" spans="25:31" ht="14.25" customHeight="1">
      <c r="Y201" t="s">
        <v>691</v>
      </c>
      <c r="Z201" t="s">
        <v>692</v>
      </c>
      <c r="AA201" t="s">
        <v>693</v>
      </c>
      <c r="AB201" t="s">
        <v>21</v>
      </c>
      <c r="AC201">
        <f t="shared" si="13"/>
        <v>1</v>
      </c>
      <c r="AD201">
        <f t="shared" si="14"/>
        <v>194</v>
      </c>
      <c r="AE201" t="str">
        <f t="shared" si="15"/>
        <v>Sierra Leone</v>
      </c>
    </row>
    <row r="202" spans="25:31" ht="14.25" customHeight="1">
      <c r="Y202" t="s">
        <v>694</v>
      </c>
      <c r="Z202" t="s">
        <v>695</v>
      </c>
      <c r="AA202" t="s">
        <v>696</v>
      </c>
      <c r="AB202" t="s">
        <v>10</v>
      </c>
      <c r="AC202">
        <f t="shared" si="13"/>
        <v>1</v>
      </c>
      <c r="AD202">
        <f t="shared" si="14"/>
        <v>195</v>
      </c>
      <c r="AE202" t="str">
        <f t="shared" si="15"/>
        <v>Singapore</v>
      </c>
    </row>
    <row r="203" spans="25:31" ht="14.25" customHeight="1">
      <c r="Y203" t="s">
        <v>697</v>
      </c>
      <c r="Z203" t="s">
        <v>698</v>
      </c>
      <c r="AA203" t="s">
        <v>699</v>
      </c>
      <c r="AB203" t="s">
        <v>21</v>
      </c>
      <c r="AC203">
        <f t="shared" si="13"/>
        <v>1</v>
      </c>
      <c r="AD203">
        <f t="shared" si="14"/>
        <v>196</v>
      </c>
      <c r="AE203" t="str">
        <f t="shared" si="15"/>
        <v>Sint Maarten (Dutch part)</v>
      </c>
    </row>
    <row r="204" spans="25:31" ht="14.25" customHeight="1">
      <c r="Y204" t="s">
        <v>700</v>
      </c>
      <c r="Z204" t="s">
        <v>701</v>
      </c>
      <c r="AA204" t="s">
        <v>702</v>
      </c>
      <c r="AB204" t="s">
        <v>14</v>
      </c>
      <c r="AC204">
        <f t="shared" si="13"/>
        <v>1</v>
      </c>
      <c r="AD204">
        <f t="shared" si="14"/>
        <v>197</v>
      </c>
      <c r="AE204" t="str">
        <f t="shared" si="15"/>
        <v>Slovakia</v>
      </c>
    </row>
    <row r="205" spans="25:31" ht="14.25" customHeight="1">
      <c r="Y205" t="s">
        <v>703</v>
      </c>
      <c r="Z205" t="s">
        <v>704</v>
      </c>
      <c r="AA205" t="s">
        <v>705</v>
      </c>
      <c r="AB205" t="s">
        <v>149</v>
      </c>
      <c r="AC205">
        <f t="shared" si="13"/>
        <v>1</v>
      </c>
      <c r="AD205">
        <f t="shared" si="14"/>
        <v>198</v>
      </c>
      <c r="AE205" t="str">
        <f t="shared" si="15"/>
        <v>Slovenia</v>
      </c>
    </row>
    <row r="206" spans="25:31" ht="14.25" customHeight="1">
      <c r="Y206" t="s">
        <v>706</v>
      </c>
      <c r="Z206" t="s">
        <v>707</v>
      </c>
      <c r="AA206" t="s">
        <v>708</v>
      </c>
      <c r="AB206" t="s">
        <v>21</v>
      </c>
      <c r="AC206">
        <f t="shared" si="13"/>
        <v>1</v>
      </c>
      <c r="AD206">
        <f t="shared" si="14"/>
        <v>199</v>
      </c>
      <c r="AE206" t="str">
        <f t="shared" si="15"/>
        <v>Solomon Islands</v>
      </c>
    </row>
    <row r="207" spans="25:31" ht="14.25" customHeight="1">
      <c r="Y207" t="s">
        <v>709</v>
      </c>
      <c r="Z207" t="s">
        <v>710</v>
      </c>
      <c r="AA207" t="s">
        <v>711</v>
      </c>
      <c r="AB207" t="s">
        <v>21</v>
      </c>
      <c r="AC207">
        <f t="shared" si="13"/>
        <v>1</v>
      </c>
      <c r="AD207">
        <f t="shared" si="14"/>
        <v>200</v>
      </c>
      <c r="AE207" t="str">
        <f t="shared" si="15"/>
        <v>Somalia</v>
      </c>
    </row>
    <row r="208" spans="25:31" ht="14.25" customHeight="1">
      <c r="Y208" t="s">
        <v>712</v>
      </c>
      <c r="Z208" t="s">
        <v>713</v>
      </c>
      <c r="AA208" t="s">
        <v>714</v>
      </c>
      <c r="AB208" t="s">
        <v>25</v>
      </c>
      <c r="AC208">
        <f t="shared" si="13"/>
        <v>1</v>
      </c>
      <c r="AD208">
        <f t="shared" si="14"/>
        <v>201</v>
      </c>
      <c r="AE208" t="str">
        <f t="shared" si="15"/>
        <v>South Africa</v>
      </c>
    </row>
    <row r="209" spans="25:31" ht="14.25" customHeight="1">
      <c r="Y209" t="s">
        <v>715</v>
      </c>
      <c r="Z209" t="s">
        <v>716</v>
      </c>
      <c r="AA209" t="s">
        <v>717</v>
      </c>
      <c r="AB209" t="s">
        <v>61</v>
      </c>
      <c r="AC209">
        <f t="shared" si="13"/>
        <v>1</v>
      </c>
      <c r="AD209">
        <f t="shared" si="14"/>
        <v>202</v>
      </c>
      <c r="AE209" t="str">
        <f t="shared" si="15"/>
        <v>South Georgia and the South Sandwich Islands</v>
      </c>
    </row>
    <row r="210" spans="25:31" ht="14.25" customHeight="1">
      <c r="Y210" t="s">
        <v>718</v>
      </c>
      <c r="Z210" t="s">
        <v>719</v>
      </c>
      <c r="AA210" t="s">
        <v>720</v>
      </c>
      <c r="AB210" t="s">
        <v>14</v>
      </c>
      <c r="AC210">
        <f t="shared" si="13"/>
        <v>1</v>
      </c>
      <c r="AD210">
        <f t="shared" si="14"/>
        <v>203</v>
      </c>
      <c r="AE210" t="str">
        <f t="shared" si="15"/>
        <v>South Sudan</v>
      </c>
    </row>
    <row r="211" spans="25:31" ht="14.25" customHeight="1">
      <c r="Y211" t="s">
        <v>721</v>
      </c>
      <c r="Z211" t="s">
        <v>722</v>
      </c>
      <c r="AA211" t="s">
        <v>723</v>
      </c>
      <c r="AB211" t="s">
        <v>14</v>
      </c>
      <c r="AC211">
        <f t="shared" si="13"/>
        <v>1</v>
      </c>
      <c r="AD211">
        <f t="shared" si="14"/>
        <v>204</v>
      </c>
      <c r="AE211" t="str">
        <f t="shared" si="15"/>
        <v>Spain</v>
      </c>
    </row>
    <row r="212" spans="25:31" ht="14.25" customHeight="1">
      <c r="Y212" t="s">
        <v>724</v>
      </c>
      <c r="Z212" t="s">
        <v>725</v>
      </c>
      <c r="AA212" t="s">
        <v>726</v>
      </c>
      <c r="AB212" t="s">
        <v>25</v>
      </c>
      <c r="AC212">
        <f t="shared" si="13"/>
        <v>1</v>
      </c>
      <c r="AD212">
        <f t="shared" si="14"/>
        <v>205</v>
      </c>
      <c r="AE212" t="str">
        <f t="shared" si="15"/>
        <v>Sri Lanka</v>
      </c>
    </row>
    <row r="213" spans="25:31" ht="14.25" customHeight="1">
      <c r="Y213" t="s">
        <v>727</v>
      </c>
      <c r="Z213" t="s">
        <v>728</v>
      </c>
      <c r="AA213" t="s">
        <v>729</v>
      </c>
      <c r="AB213" t="s">
        <v>10</v>
      </c>
      <c r="AC213">
        <f t="shared" si="13"/>
        <v>1</v>
      </c>
      <c r="AD213">
        <f t="shared" si="14"/>
        <v>206</v>
      </c>
      <c r="AE213" t="str">
        <f t="shared" si="15"/>
        <v>Sudan</v>
      </c>
    </row>
    <row r="214" spans="25:31" ht="14.25" customHeight="1">
      <c r="Y214" t="s">
        <v>730</v>
      </c>
      <c r="Z214" t="s">
        <v>731</v>
      </c>
      <c r="AA214" t="s">
        <v>732</v>
      </c>
      <c r="AB214" t="s">
        <v>21</v>
      </c>
      <c r="AC214">
        <f t="shared" si="13"/>
        <v>1</v>
      </c>
      <c r="AD214">
        <f t="shared" si="14"/>
        <v>207</v>
      </c>
      <c r="AE214" t="str">
        <f t="shared" si="15"/>
        <v>Sudan (former)</v>
      </c>
    </row>
    <row r="215" spans="25:31" ht="14.25" customHeight="1">
      <c r="Y215" t="s">
        <v>733</v>
      </c>
      <c r="Z215" t="s">
        <v>734</v>
      </c>
      <c r="AA215" t="s">
        <v>735</v>
      </c>
      <c r="AB215" t="s">
        <v>149</v>
      </c>
      <c r="AC215">
        <f t="shared" si="13"/>
        <v>1</v>
      </c>
      <c r="AD215">
        <f t="shared" si="14"/>
        <v>208</v>
      </c>
      <c r="AE215" t="str">
        <f t="shared" si="15"/>
        <v>Suriname</v>
      </c>
    </row>
    <row r="216" spans="25:31" ht="14.25" customHeight="1">
      <c r="Y216" t="s">
        <v>736</v>
      </c>
      <c r="Z216" t="s">
        <v>737</v>
      </c>
      <c r="AA216" t="s">
        <v>738</v>
      </c>
      <c r="AB216" t="s">
        <v>21</v>
      </c>
      <c r="AC216">
        <f t="shared" si="13"/>
        <v>1</v>
      </c>
      <c r="AD216">
        <f t="shared" si="14"/>
        <v>209</v>
      </c>
      <c r="AE216" t="str">
        <f t="shared" si="15"/>
        <v>Svalbard and Jan Mayen</v>
      </c>
    </row>
    <row r="217" spans="25:31" ht="14.25" customHeight="1">
      <c r="Y217" t="s">
        <v>739</v>
      </c>
      <c r="Z217" t="s">
        <v>740</v>
      </c>
      <c r="AA217" t="s">
        <v>741</v>
      </c>
      <c r="AB217" t="s">
        <v>14</v>
      </c>
      <c r="AC217">
        <f t="shared" si="13"/>
        <v>1</v>
      </c>
      <c r="AD217">
        <f t="shared" si="14"/>
        <v>210</v>
      </c>
      <c r="AE217" t="str">
        <f t="shared" si="15"/>
        <v>Sweden</v>
      </c>
    </row>
    <row r="218" spans="25:31" ht="14.25" customHeight="1">
      <c r="Y218" t="s">
        <v>742</v>
      </c>
      <c r="Z218" t="s">
        <v>743</v>
      </c>
      <c r="AA218" t="s">
        <v>744</v>
      </c>
      <c r="AB218" t="s">
        <v>108</v>
      </c>
      <c r="AC218">
        <f t="shared" si="13"/>
        <v>1</v>
      </c>
      <c r="AD218">
        <f t="shared" si="14"/>
        <v>211</v>
      </c>
      <c r="AE218" t="str">
        <f t="shared" si="15"/>
        <v>Switzerland</v>
      </c>
    </row>
    <row r="219" spans="25:31" ht="14.25" customHeight="1">
      <c r="Y219" t="s">
        <v>745</v>
      </c>
      <c r="Z219" t="s">
        <v>746</v>
      </c>
      <c r="AA219" t="s">
        <v>747</v>
      </c>
      <c r="AB219" t="s">
        <v>10</v>
      </c>
      <c r="AC219">
        <f t="shared" si="13"/>
        <v>1</v>
      </c>
      <c r="AD219">
        <f t="shared" si="14"/>
        <v>212</v>
      </c>
      <c r="AE219" t="str">
        <f t="shared" si="15"/>
        <v>Syrian Arab Republic</v>
      </c>
    </row>
    <row r="220" spans="25:31" ht="14.25" customHeight="1">
      <c r="Y220" t="s">
        <v>748</v>
      </c>
      <c r="Z220" t="s">
        <v>749</v>
      </c>
      <c r="AA220" t="s">
        <v>750</v>
      </c>
      <c r="AB220" t="s">
        <v>149</v>
      </c>
      <c r="AC220">
        <f t="shared" si="13"/>
        <v>1</v>
      </c>
      <c r="AD220">
        <f t="shared" si="14"/>
        <v>213</v>
      </c>
      <c r="AE220" t="str">
        <f t="shared" si="15"/>
        <v>Tajikistan</v>
      </c>
    </row>
    <row r="221" spans="25:31" ht="14.25" customHeight="1">
      <c r="Y221" t="s">
        <v>751</v>
      </c>
      <c r="Z221" t="s">
        <v>752</v>
      </c>
      <c r="AA221" t="s">
        <v>753</v>
      </c>
      <c r="AB221" t="s">
        <v>61</v>
      </c>
      <c r="AC221">
        <f t="shared" si="13"/>
        <v>1</v>
      </c>
      <c r="AD221">
        <f t="shared" si="14"/>
        <v>214</v>
      </c>
      <c r="AE221" t="str">
        <f t="shared" si="15"/>
        <v>Thailand</v>
      </c>
    </row>
    <row r="222" spans="25:31" ht="14.25" customHeight="1">
      <c r="Y222" t="s">
        <v>754</v>
      </c>
      <c r="Z222" t="s">
        <v>755</v>
      </c>
      <c r="AA222" t="s">
        <v>756</v>
      </c>
      <c r="AB222" t="s">
        <v>149</v>
      </c>
      <c r="AC222">
        <f t="shared" si="13"/>
        <v>1</v>
      </c>
      <c r="AD222">
        <f t="shared" si="14"/>
        <v>215</v>
      </c>
      <c r="AE222" t="str">
        <f t="shared" si="15"/>
        <v>The former state union Serbia and Montenegro</v>
      </c>
    </row>
    <row r="223" spans="25:31" ht="14.25" customHeight="1">
      <c r="Y223" t="s">
        <v>757</v>
      </c>
      <c r="Z223" t="s">
        <v>758</v>
      </c>
      <c r="AA223" t="s">
        <v>759</v>
      </c>
      <c r="AB223" t="s">
        <v>14</v>
      </c>
      <c r="AC223">
        <f t="shared" si="13"/>
        <v>1</v>
      </c>
      <c r="AD223">
        <f t="shared" si="14"/>
        <v>216</v>
      </c>
      <c r="AE223" t="str">
        <f t="shared" si="15"/>
        <v>Timor-Leste</v>
      </c>
    </row>
    <row r="224" spans="25:31" ht="14.25" customHeight="1">
      <c r="Y224" t="s">
        <v>760</v>
      </c>
      <c r="Z224" t="s">
        <v>761</v>
      </c>
      <c r="AA224" t="s">
        <v>762</v>
      </c>
      <c r="AB224" t="s">
        <v>14</v>
      </c>
      <c r="AC224">
        <f t="shared" si="13"/>
        <v>1</v>
      </c>
      <c r="AD224">
        <f t="shared" si="14"/>
        <v>217</v>
      </c>
      <c r="AE224" t="str">
        <f t="shared" si="15"/>
        <v>Togo</v>
      </c>
    </row>
    <row r="225" spans="25:31" ht="14.25" customHeight="1">
      <c r="Y225" t="s">
        <v>763</v>
      </c>
      <c r="Z225" t="s">
        <v>764</v>
      </c>
      <c r="AA225" t="s">
        <v>765</v>
      </c>
      <c r="AB225" t="s">
        <v>10</v>
      </c>
      <c r="AC225">
        <f t="shared" si="13"/>
        <v>1</v>
      </c>
      <c r="AD225">
        <f t="shared" si="14"/>
        <v>218</v>
      </c>
      <c r="AE225" t="str">
        <f t="shared" si="15"/>
        <v>Tokelau</v>
      </c>
    </row>
    <row r="226" spans="25:31" ht="14.25" customHeight="1">
      <c r="Y226" t="s">
        <v>766</v>
      </c>
      <c r="Z226" t="s">
        <v>767</v>
      </c>
      <c r="AA226" t="s">
        <v>768</v>
      </c>
      <c r="AB226" t="s">
        <v>14</v>
      </c>
      <c r="AC226">
        <f t="shared" si="13"/>
        <v>1</v>
      </c>
      <c r="AD226">
        <f t="shared" si="14"/>
        <v>219</v>
      </c>
      <c r="AE226" t="str">
        <f t="shared" si="15"/>
        <v>Tonga</v>
      </c>
    </row>
    <row r="227" spans="25:31" ht="14.25" customHeight="1">
      <c r="Y227" t="s">
        <v>769</v>
      </c>
      <c r="Z227" t="s">
        <v>770</v>
      </c>
      <c r="AA227" t="s">
        <v>771</v>
      </c>
      <c r="AB227" t="s">
        <v>108</v>
      </c>
      <c r="AC227">
        <f t="shared" si="13"/>
        <v>1</v>
      </c>
      <c r="AD227">
        <f t="shared" si="14"/>
        <v>220</v>
      </c>
      <c r="AE227" t="str">
        <f t="shared" si="15"/>
        <v>Trinidad and Tobago</v>
      </c>
    </row>
    <row r="228" spans="25:31" ht="14.25" customHeight="1">
      <c r="Y228" t="s">
        <v>772</v>
      </c>
      <c r="Z228" t="s">
        <v>773</v>
      </c>
      <c r="AA228" t="s">
        <v>774</v>
      </c>
      <c r="AB228" t="s">
        <v>149</v>
      </c>
      <c r="AC228">
        <f t="shared" si="13"/>
        <v>1</v>
      </c>
      <c r="AD228">
        <f t="shared" si="14"/>
        <v>221</v>
      </c>
      <c r="AE228" t="str">
        <f t="shared" si="15"/>
        <v>Tunisia</v>
      </c>
    </row>
    <row r="229" spans="25:31" ht="14.25" customHeight="1">
      <c r="Y229" t="s">
        <v>775</v>
      </c>
      <c r="Z229" t="s">
        <v>776</v>
      </c>
      <c r="AA229" t="s">
        <v>777</v>
      </c>
      <c r="AB229" t="s">
        <v>108</v>
      </c>
      <c r="AC229">
        <f t="shared" si="13"/>
        <v>1</v>
      </c>
      <c r="AD229">
        <f t="shared" si="14"/>
        <v>222</v>
      </c>
      <c r="AE229" t="str">
        <f t="shared" si="15"/>
        <v>Turkey</v>
      </c>
    </row>
    <row r="230" spans="25:31" ht="14.25" customHeight="1">
      <c r="Y230" t="s">
        <v>778</v>
      </c>
      <c r="Z230" t="s">
        <v>779</v>
      </c>
      <c r="AA230" t="s">
        <v>780</v>
      </c>
      <c r="AB230" t="s">
        <v>21</v>
      </c>
      <c r="AC230">
        <f t="shared" si="13"/>
        <v>1</v>
      </c>
      <c r="AD230">
        <f t="shared" si="14"/>
        <v>223</v>
      </c>
      <c r="AE230" t="str">
        <f t="shared" si="15"/>
        <v>Turkmenistan</v>
      </c>
    </row>
    <row r="231" spans="25:31" ht="14.25" customHeight="1">
      <c r="Y231" t="s">
        <v>781</v>
      </c>
      <c r="Z231" t="s">
        <v>782</v>
      </c>
      <c r="AA231" t="s">
        <v>783</v>
      </c>
      <c r="AB231" t="s">
        <v>25</v>
      </c>
      <c r="AC231">
        <f t="shared" si="13"/>
        <v>1</v>
      </c>
      <c r="AD231">
        <f t="shared" si="14"/>
        <v>224</v>
      </c>
      <c r="AE231" t="str">
        <f t="shared" si="15"/>
        <v>Turks and Caicos Islands</v>
      </c>
    </row>
    <row r="232" spans="25:31" ht="14.25" customHeight="1">
      <c r="Y232" t="s">
        <v>784</v>
      </c>
      <c r="Z232" t="s">
        <v>785</v>
      </c>
      <c r="AA232" t="s">
        <v>786</v>
      </c>
      <c r="AB232" t="s">
        <v>25</v>
      </c>
      <c r="AC232">
        <f t="shared" si="13"/>
        <v>1</v>
      </c>
      <c r="AD232">
        <f t="shared" si="14"/>
        <v>225</v>
      </c>
      <c r="AE232" t="str">
        <f t="shared" si="15"/>
        <v>Tuvalu</v>
      </c>
    </row>
    <row r="233" spans="25:31" ht="14.25" customHeight="1">
      <c r="Y233" t="s">
        <v>787</v>
      </c>
      <c r="Z233" t="s">
        <v>788</v>
      </c>
      <c r="AA233" t="s">
        <v>789</v>
      </c>
      <c r="AB233" t="s">
        <v>61</v>
      </c>
      <c r="AC233">
        <f t="shared" si="13"/>
        <v>1</v>
      </c>
      <c r="AD233">
        <f t="shared" si="14"/>
        <v>226</v>
      </c>
      <c r="AE233" t="str">
        <f t="shared" si="15"/>
        <v>US Virgin Islands</v>
      </c>
    </row>
    <row r="234" spans="25:31" ht="14.25" customHeight="1">
      <c r="Y234" t="s">
        <v>790</v>
      </c>
      <c r="Z234" t="s">
        <v>791</v>
      </c>
      <c r="AA234" t="s">
        <v>792</v>
      </c>
      <c r="AB234" t="s">
        <v>10</v>
      </c>
      <c r="AC234">
        <f t="shared" si="13"/>
        <v>1</v>
      </c>
      <c r="AD234">
        <f t="shared" si="14"/>
        <v>227</v>
      </c>
      <c r="AE234" t="str">
        <f t="shared" si="15"/>
        <v>USSR, Former</v>
      </c>
    </row>
    <row r="235" spans="25:31" ht="14.25" customHeight="1">
      <c r="Y235" t="s">
        <v>793</v>
      </c>
      <c r="Z235" t="s">
        <v>794</v>
      </c>
      <c r="AA235" t="s">
        <v>795</v>
      </c>
      <c r="AB235" t="s">
        <v>14</v>
      </c>
      <c r="AC235">
        <f t="shared" si="13"/>
        <v>1</v>
      </c>
      <c r="AD235">
        <f t="shared" si="14"/>
        <v>228</v>
      </c>
      <c r="AE235" t="str">
        <f t="shared" si="15"/>
        <v>Uganda</v>
      </c>
    </row>
    <row r="236" spans="25:31" ht="14.25" customHeight="1">
      <c r="Y236" t="s">
        <v>796</v>
      </c>
      <c r="Z236" t="s">
        <v>797</v>
      </c>
      <c r="AA236" t="s">
        <v>798</v>
      </c>
      <c r="AB236" t="s">
        <v>14</v>
      </c>
      <c r="AC236">
        <f t="shared" si="13"/>
        <v>1</v>
      </c>
      <c r="AD236">
        <f t="shared" si="14"/>
        <v>229</v>
      </c>
      <c r="AE236" t="str">
        <f t="shared" si="15"/>
        <v>Ukraine</v>
      </c>
    </row>
    <row r="237" spans="25:31" ht="14.25" customHeight="1">
      <c r="Y237" t="s">
        <v>799</v>
      </c>
      <c r="Z237" t="s">
        <v>800</v>
      </c>
      <c r="AA237" t="s">
        <v>801</v>
      </c>
      <c r="AB237" t="s">
        <v>61</v>
      </c>
      <c r="AC237">
        <f t="shared" si="13"/>
        <v>1</v>
      </c>
      <c r="AD237">
        <f t="shared" si="14"/>
        <v>230</v>
      </c>
      <c r="AE237" t="str">
        <f t="shared" si="15"/>
        <v>United Arab Emirates</v>
      </c>
    </row>
    <row r="238" spans="25:31" ht="14.25" customHeight="1">
      <c r="Y238" t="s">
        <v>802</v>
      </c>
      <c r="Z238" t="s">
        <v>803</v>
      </c>
      <c r="AA238" t="s">
        <v>804</v>
      </c>
      <c r="AB238" t="s">
        <v>25</v>
      </c>
      <c r="AC238">
        <f t="shared" si="13"/>
        <v>1</v>
      </c>
      <c r="AD238">
        <f t="shared" si="14"/>
        <v>231</v>
      </c>
      <c r="AE238" t="str">
        <f t="shared" si="15"/>
        <v>United Kingdom of Great Britain and Northern Irela</v>
      </c>
    </row>
    <row r="239" spans="25:31" ht="14.25" customHeight="1">
      <c r="Y239" t="s">
        <v>805</v>
      </c>
      <c r="Z239" t="s">
        <v>806</v>
      </c>
      <c r="AA239" t="s">
        <v>807</v>
      </c>
      <c r="AB239" t="s">
        <v>61</v>
      </c>
      <c r="AC239">
        <f t="shared" si="13"/>
        <v>1</v>
      </c>
      <c r="AD239">
        <f t="shared" si="14"/>
        <v>232</v>
      </c>
      <c r="AE239" t="str">
        <f t="shared" si="15"/>
        <v>United Kingdom, England and Wales</v>
      </c>
    </row>
    <row r="240" spans="25:31" ht="14.25" customHeight="1">
      <c r="Y240" t="s">
        <v>808</v>
      </c>
      <c r="Z240" t="s">
        <v>809</v>
      </c>
      <c r="AA240" t="s">
        <v>810</v>
      </c>
      <c r="AB240" t="s">
        <v>149</v>
      </c>
      <c r="AC240">
        <f t="shared" si="13"/>
        <v>1</v>
      </c>
      <c r="AD240">
        <f t="shared" si="14"/>
        <v>233</v>
      </c>
      <c r="AE240" t="str">
        <f t="shared" si="15"/>
        <v>United Kingdom, Northern Ireland</v>
      </c>
    </row>
    <row r="241" spans="25:31" ht="14.25" customHeight="1">
      <c r="Y241" t="s">
        <v>811</v>
      </c>
      <c r="Z241" t="s">
        <v>812</v>
      </c>
      <c r="AA241" t="s">
        <v>813</v>
      </c>
      <c r="AB241" t="s">
        <v>21</v>
      </c>
      <c r="AC241">
        <f t="shared" si="13"/>
        <v>1</v>
      </c>
      <c r="AD241">
        <f t="shared" si="14"/>
        <v>234</v>
      </c>
      <c r="AE241" t="str">
        <f t="shared" si="15"/>
        <v>United Kingdom, Scotland</v>
      </c>
    </row>
    <row r="242" spans="25:31" ht="14.25" customHeight="1">
      <c r="Y242" t="s">
        <v>814</v>
      </c>
      <c r="Z242" t="s">
        <v>815</v>
      </c>
      <c r="AA242" t="s">
        <v>816</v>
      </c>
      <c r="AB242" t="s">
        <v>14</v>
      </c>
      <c r="AC242">
        <f t="shared" si="13"/>
        <v>1</v>
      </c>
      <c r="AD242">
        <f t="shared" si="14"/>
        <v>235</v>
      </c>
      <c r="AE242" t="str">
        <f t="shared" si="15"/>
        <v>United Republic of Tanzania</v>
      </c>
    </row>
    <row r="243" spans="25:31" ht="14.25" customHeight="1">
      <c r="Y243" t="s">
        <v>817</v>
      </c>
      <c r="Z243" t="s">
        <v>818</v>
      </c>
      <c r="AA243" t="s">
        <v>819</v>
      </c>
      <c r="AB243" t="s">
        <v>10</v>
      </c>
      <c r="AC243">
        <f t="shared" si="13"/>
        <v>1</v>
      </c>
      <c r="AD243">
        <f t="shared" si="14"/>
        <v>236</v>
      </c>
      <c r="AE243" t="str">
        <f t="shared" si="15"/>
        <v>United States Minor Outlying Islands</v>
      </c>
    </row>
    <row r="244" spans="25:31" ht="14.25" customHeight="1">
      <c r="Y244" t="s">
        <v>820</v>
      </c>
      <c r="Z244" t="s">
        <v>821</v>
      </c>
      <c r="AA244" t="s">
        <v>822</v>
      </c>
      <c r="AB244" t="s">
        <v>14</v>
      </c>
      <c r="AC244">
        <f t="shared" si="13"/>
        <v>1</v>
      </c>
      <c r="AD244">
        <f t="shared" si="14"/>
        <v>237</v>
      </c>
      <c r="AE244" t="str">
        <f t="shared" si="15"/>
        <v>United States of America</v>
      </c>
    </row>
    <row r="245" spans="25:31" ht="14.25" customHeight="1">
      <c r="Y245" t="s">
        <v>823</v>
      </c>
      <c r="Z245" t="s">
        <v>824</v>
      </c>
      <c r="AA245" t="s">
        <v>825</v>
      </c>
      <c r="AB245" t="s">
        <v>149</v>
      </c>
      <c r="AC245">
        <f t="shared" si="13"/>
        <v>1</v>
      </c>
      <c r="AD245">
        <f t="shared" si="14"/>
        <v>238</v>
      </c>
      <c r="AE245" t="str">
        <f t="shared" si="15"/>
        <v>Uruguay</v>
      </c>
    </row>
    <row r="246" spans="25:31" ht="14.25" customHeight="1">
      <c r="Y246" t="s">
        <v>826</v>
      </c>
      <c r="Z246" t="s">
        <v>827</v>
      </c>
      <c r="AA246" t="s">
        <v>828</v>
      </c>
      <c r="AB246" t="s">
        <v>149</v>
      </c>
      <c r="AC246">
        <f t="shared" si="13"/>
        <v>1</v>
      </c>
      <c r="AD246">
        <f t="shared" si="14"/>
        <v>239</v>
      </c>
      <c r="AE246" t="str">
        <f t="shared" si="15"/>
        <v>Uzbekistan</v>
      </c>
    </row>
    <row r="247" spans="25:31" ht="14.25" customHeight="1">
      <c r="Y247" t="s">
        <v>829</v>
      </c>
      <c r="Z247" t="s">
        <v>830</v>
      </c>
      <c r="AA247" t="s">
        <v>831</v>
      </c>
      <c r="AB247" t="s">
        <v>149</v>
      </c>
      <c r="AC247">
        <f t="shared" si="13"/>
        <v>1</v>
      </c>
      <c r="AD247">
        <f t="shared" si="14"/>
        <v>240</v>
      </c>
      <c r="AE247" t="str">
        <f t="shared" si="15"/>
        <v>Vanuatu</v>
      </c>
    </row>
    <row r="248" spans="25:31" ht="14.25" customHeight="1">
      <c r="Y248" t="s">
        <v>832</v>
      </c>
      <c r="Z248" t="s">
        <v>833</v>
      </c>
      <c r="AA248" t="s">
        <v>834</v>
      </c>
      <c r="AB248" t="s">
        <v>21</v>
      </c>
      <c r="AC248">
        <f t="shared" si="13"/>
        <v>1</v>
      </c>
      <c r="AD248">
        <f t="shared" si="14"/>
        <v>241</v>
      </c>
      <c r="AE248" t="str">
        <f t="shared" si="15"/>
        <v/>
      </c>
    </row>
    <row r="249" spans="25:31" ht="14.25" customHeight="1">
      <c r="Y249" t="s">
        <v>835</v>
      </c>
      <c r="Z249" t="s">
        <v>836</v>
      </c>
      <c r="AA249" t="s">
        <v>837</v>
      </c>
      <c r="AB249" t="s">
        <v>149</v>
      </c>
      <c r="AC249">
        <f t="shared" si="13"/>
        <v>1</v>
      </c>
      <c r="AD249">
        <f t="shared" si="14"/>
        <v>242</v>
      </c>
      <c r="AE249" t="str">
        <f t="shared" si="15"/>
        <v/>
      </c>
    </row>
    <row r="250" spans="25:31" ht="14.25" customHeight="1">
      <c r="Y250" t="s">
        <v>838</v>
      </c>
      <c r="Z250" t="s">
        <v>839</v>
      </c>
      <c r="AA250" t="s">
        <v>840</v>
      </c>
      <c r="AB250" t="s">
        <v>61</v>
      </c>
      <c r="AC250">
        <f t="shared" si="13"/>
        <v>1</v>
      </c>
      <c r="AD250">
        <f t="shared" si="14"/>
        <v>243</v>
      </c>
      <c r="AE250" t="str">
        <f t="shared" si="15"/>
        <v/>
      </c>
    </row>
    <row r="251" spans="25:31" ht="14.25" customHeight="1">
      <c r="Y251" t="s">
        <v>841</v>
      </c>
      <c r="Z251" t="s">
        <v>842</v>
      </c>
      <c r="AA251" t="s">
        <v>843</v>
      </c>
      <c r="AB251" t="s">
        <v>61</v>
      </c>
      <c r="AC251">
        <f t="shared" si="13"/>
        <v>1</v>
      </c>
      <c r="AD251">
        <f t="shared" si="14"/>
        <v>244</v>
      </c>
      <c r="AE251" t="str">
        <f t="shared" si="15"/>
        <v/>
      </c>
    </row>
    <row r="252" spans="25:31" ht="14.25" customHeight="1">
      <c r="Y252" t="s">
        <v>844</v>
      </c>
      <c r="Z252" t="s">
        <v>845</v>
      </c>
      <c r="AA252" t="s">
        <v>846</v>
      </c>
      <c r="AB252" t="s">
        <v>14</v>
      </c>
      <c r="AC252">
        <f t="shared" si="13"/>
        <v>1</v>
      </c>
      <c r="AD252">
        <f t="shared" si="14"/>
        <v>245</v>
      </c>
      <c r="AE252" t="str">
        <f t="shared" si="15"/>
        <v/>
      </c>
    </row>
    <row r="253" spans="25:31" ht="14.25" customHeight="1">
      <c r="Y253" t="s">
        <v>847</v>
      </c>
      <c r="Z253" t="s">
        <v>848</v>
      </c>
      <c r="AA253" t="s">
        <v>849</v>
      </c>
      <c r="AB253" t="s">
        <v>25</v>
      </c>
      <c r="AC253">
        <f t="shared" si="13"/>
        <v>1</v>
      </c>
      <c r="AD253">
        <f t="shared" si="14"/>
        <v>246</v>
      </c>
      <c r="AE253" t="str">
        <f t="shared" si="15"/>
        <v/>
      </c>
    </row>
    <row r="254" spans="25:31" ht="14.25" customHeight="1">
      <c r="Y254" t="s">
        <v>850</v>
      </c>
      <c r="Z254" t="s">
        <v>851</v>
      </c>
      <c r="AA254" t="s">
        <v>852</v>
      </c>
      <c r="AB254" t="s">
        <v>61</v>
      </c>
      <c r="AC254">
        <f t="shared" si="13"/>
        <v>1</v>
      </c>
      <c r="AD254">
        <f t="shared" si="14"/>
        <v>247</v>
      </c>
      <c r="AE254" t="str">
        <f t="shared" si="15"/>
        <v/>
      </c>
    </row>
    <row r="255" spans="25:31" ht="14.25" customHeight="1">
      <c r="Y255" t="s">
        <v>853</v>
      </c>
      <c r="Z255" t="s">
        <v>854</v>
      </c>
      <c r="AA255" t="s">
        <v>855</v>
      </c>
      <c r="AB255" t="s">
        <v>25</v>
      </c>
      <c r="AC255">
        <f t="shared" si="13"/>
        <v>1</v>
      </c>
      <c r="AD255">
        <f t="shared" si="14"/>
        <v>248</v>
      </c>
      <c r="AE255" t="str">
        <f t="shared" si="15"/>
        <v/>
      </c>
    </row>
    <row r="256" spans="25:31" ht="14.25" customHeight="1">
      <c r="Y256" t="s">
        <v>856</v>
      </c>
      <c r="Z256" t="s">
        <v>857</v>
      </c>
      <c r="AA256" t="s">
        <v>858</v>
      </c>
      <c r="AB256" t="s">
        <v>25</v>
      </c>
      <c r="AC256">
        <f t="shared" si="13"/>
        <v>1</v>
      </c>
      <c r="AD256">
        <f t="shared" si="14"/>
        <v>249</v>
      </c>
      <c r="AE256" t="str">
        <f t="shared" si="15"/>
        <v/>
      </c>
    </row>
    <row r="257" spans="25:31" ht="14.25" customHeight="1">
      <c r="Y257" t="s">
        <v>859</v>
      </c>
      <c r="Z257" t="s">
        <v>860</v>
      </c>
      <c r="AA257" t="s">
        <v>861</v>
      </c>
      <c r="AB257" t="s">
        <v>149</v>
      </c>
      <c r="AC257">
        <f t="shared" si="13"/>
        <v>1</v>
      </c>
      <c r="AD257">
        <f t="shared" si="14"/>
        <v>250</v>
      </c>
      <c r="AE257" t="str">
        <f t="shared" si="15"/>
        <v/>
      </c>
    </row>
    <row r="258" spans="25:31" ht="14.25" customHeight="1">
      <c r="Y258" t="s">
        <v>862</v>
      </c>
      <c r="Z258" t="s">
        <v>863</v>
      </c>
      <c r="AA258" t="s">
        <v>864</v>
      </c>
      <c r="AB258" t="s">
        <v>10</v>
      </c>
      <c r="AC258">
        <f t="shared" si="13"/>
        <v>1</v>
      </c>
      <c r="AD258">
        <f t="shared" si="14"/>
        <v>251</v>
      </c>
      <c r="AE258" t="str">
        <f t="shared" si="15"/>
        <v/>
      </c>
    </row>
    <row r="259" spans="25:31" ht="14.25" customHeight="1">
      <c r="Y259" t="s">
        <v>865</v>
      </c>
      <c r="Z259" t="s">
        <v>866</v>
      </c>
      <c r="AA259" t="s">
        <v>867</v>
      </c>
      <c r="AB259" t="s">
        <v>149</v>
      </c>
      <c r="AC259">
        <f t="shared" si="13"/>
        <v>1</v>
      </c>
      <c r="AD259">
        <f t="shared" si="14"/>
        <v>252</v>
      </c>
      <c r="AE259" t="str">
        <f t="shared" si="15"/>
        <v/>
      </c>
    </row>
    <row r="260" spans="25:31" ht="14.25" customHeight="1">
      <c r="Y260" t="s">
        <v>868</v>
      </c>
      <c r="Z260" t="s">
        <v>869</v>
      </c>
      <c r="AA260" t="s">
        <v>870</v>
      </c>
      <c r="AB260" t="s">
        <v>10</v>
      </c>
      <c r="AC260">
        <f t="shared" si="13"/>
        <v>1</v>
      </c>
      <c r="AD260">
        <f t="shared" si="14"/>
        <v>253</v>
      </c>
      <c r="AE260" t="str">
        <f t="shared" si="15"/>
        <v/>
      </c>
    </row>
    <row r="261" spans="25:31" ht="14.25" customHeight="1">
      <c r="Y261" t="s">
        <v>871</v>
      </c>
      <c r="Z261" t="s">
        <v>872</v>
      </c>
      <c r="AA261" t="s">
        <v>873</v>
      </c>
      <c r="AB261" t="s">
        <v>149</v>
      </c>
      <c r="AC261">
        <f t="shared" si="13"/>
        <v>1</v>
      </c>
      <c r="AD261">
        <f t="shared" si="14"/>
        <v>254</v>
      </c>
      <c r="AE261" t="str">
        <f t="shared" si="15"/>
        <v/>
      </c>
    </row>
    <row r="262" spans="25:31" ht="14.25" customHeight="1">
      <c r="Y262" t="s">
        <v>874</v>
      </c>
      <c r="Z262" t="s">
        <v>875</v>
      </c>
      <c r="AA262" t="s">
        <v>876</v>
      </c>
      <c r="AB262" t="s">
        <v>21</v>
      </c>
      <c r="AC262">
        <f t="shared" si="13"/>
        <v>1</v>
      </c>
      <c r="AD262">
        <f t="shared" si="14"/>
        <v>255</v>
      </c>
      <c r="AE262" t="str">
        <f t="shared" si="15"/>
        <v/>
      </c>
    </row>
    <row r="263" spans="25:31" ht="14.25" customHeight="1">
      <c r="Y263" t="s">
        <v>877</v>
      </c>
      <c r="Z263" t="s">
        <v>878</v>
      </c>
      <c r="AA263" t="s">
        <v>879</v>
      </c>
      <c r="AB263" t="s">
        <v>21</v>
      </c>
      <c r="AC263">
        <f t="shared" si="13"/>
        <v>1</v>
      </c>
      <c r="AD263">
        <f t="shared" si="14"/>
        <v>256</v>
      </c>
      <c r="AE263" t="str">
        <f t="shared" si="15"/>
        <v/>
      </c>
    </row>
    <row r="264" spans="25:31" ht="14.25" customHeight="1">
      <c r="Y264" t="s">
        <v>880</v>
      </c>
      <c r="Z264" t="s">
        <v>881</v>
      </c>
      <c r="AA264" t="s">
        <v>882</v>
      </c>
      <c r="AB264" t="s">
        <v>149</v>
      </c>
      <c r="AC264">
        <f t="shared" si="13"/>
        <v>1</v>
      </c>
      <c r="AD264">
        <f t="shared" si="14"/>
        <v>257</v>
      </c>
      <c r="AE264" t="str">
        <f t="shared" si="15"/>
        <v/>
      </c>
    </row>
  </sheetData>
  <mergeCells count="13">
    <mergeCell ref="B1:R1"/>
    <mergeCell ref="B69:G69"/>
    <mergeCell ref="B70:G70"/>
    <mergeCell ref="U6:V6"/>
    <mergeCell ref="C6:C7"/>
    <mergeCell ref="B2:R2"/>
    <mergeCell ref="B6:B7"/>
    <mergeCell ref="R6:T6"/>
    <mergeCell ref="P6:Q6"/>
    <mergeCell ref="J6:O6"/>
    <mergeCell ref="H6:I6"/>
    <mergeCell ref="D6:D7"/>
    <mergeCell ref="E6:G6"/>
  </mergeCells>
  <dataValidations count="7">
    <dataValidation type="list" allowBlank="1" showErrorMessage="1" sqref="Q4" xr:uid="{42E51633-0563-477D-A261-6E383BCE7CC9}">
      <formula1>$X$11:$X$28</formula1>
    </dataValidation>
    <dataValidation type="decimal" operator="greaterThanOrEqual" allowBlank="1" showErrorMessage="1" sqref="W8" xr:uid="{861B87E3-3406-493B-9A0F-CC054547AC08}">
      <formula1>0</formula1>
    </dataValidation>
    <dataValidation type="decimal" operator="greaterThanOrEqual" allowBlank="1" showErrorMessage="1" sqref="D9:W17" xr:uid="{02FE0D05-3322-4835-AB77-4917D575E464}">
      <formula1>0</formula1>
    </dataValidation>
    <dataValidation type="decimal" operator="greaterThanOrEqual" allowBlank="1" showErrorMessage="1" sqref="W18" xr:uid="{8B1B74D5-90B4-43BE-A9AC-05BEC23A93B9}">
      <formula1>0</formula1>
    </dataValidation>
    <dataValidation type="decimal" operator="greaterThanOrEqual" allowBlank="1" showErrorMessage="1" sqref="D19:W21" xr:uid="{9EAFEF40-050C-40A3-A34B-3BF5F89B6300}">
      <formula1>0</formula1>
    </dataValidation>
    <dataValidation type="decimal" operator="greaterThanOrEqual" allowBlank="1" showErrorMessage="1" sqref="W22" xr:uid="{72EBBAC8-8DDE-4F89-9787-00658F5DA2A0}">
      <formula1>0</formula1>
    </dataValidation>
    <dataValidation type="decimal" operator="greaterThanOrEqual" allowBlank="1" showErrorMessage="1" sqref="D23:W67" xr:uid="{2D274008-8AD1-4C42-97E6-EAB2D3A94039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0FA360F-D85F-4953-9ED1-827A1764107A}">
          <x14:formula1>
            <xm:f>Validation!$A$3:$A$1024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455F-CE68-4738-B101-42B9E1E5FEC3}">
  <sheetPr>
    <outlinePr summaryBelow="0" summaryRight="0"/>
    <pageSetUpPr autoPageBreaks="0"/>
  </sheetPr>
  <dimension ref="A1:AJ100"/>
  <sheetViews>
    <sheetView tabSelected="1" topLeftCell="D1" zoomScaleSheetLayoutView="100" workbookViewId="0">
      <pane ySplit="8" topLeftCell="A9" activePane="bottomLeft" state="frozen"/>
      <selection pane="bottomLeft" activeCell="F10" sqref="F10"/>
    </sheetView>
  </sheetViews>
  <sheetFormatPr defaultRowHeight="15" customHeight="1"/>
  <cols>
    <col min="1" max="1" width="9.125" customWidth="1"/>
    <col min="2" max="2" width="10.875" customWidth="1"/>
    <col min="3" max="3" width="67" customWidth="1"/>
    <col min="4" max="5" width="13.125" customWidth="1"/>
    <col min="6" max="7" width="14.375" customWidth="1"/>
    <col min="8" max="9" width="16.25" customWidth="1"/>
    <col min="10" max="10" width="14.375" customWidth="1"/>
    <col min="11" max="11" width="15.125" customWidth="1"/>
    <col min="12" max="16" width="16.375" customWidth="1"/>
    <col min="17" max="17" width="9.125" customWidth="1"/>
    <col min="18" max="18" width="9.25" customWidth="1"/>
    <col min="19" max="19" width="6.625" customWidth="1"/>
    <col min="20" max="36" width="9.125" customWidth="1"/>
    <col min="37" max="256" width="15" customWidth="1"/>
  </cols>
  <sheetData>
    <row r="1" spans="1:36" ht="14.25" customHeight="1">
      <c r="A1" s="1" t="s">
        <v>0</v>
      </c>
      <c r="B1" s="39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3"/>
      <c r="R1" s="4"/>
      <c r="S1" s="3"/>
    </row>
    <row r="2" spans="1:36" ht="14.25" customHeight="1">
      <c r="B2" s="39" t="s">
        <v>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3"/>
      <c r="R2" s="3"/>
      <c r="S2" s="3"/>
    </row>
    <row r="3" spans="1:36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36" ht="16.5" customHeight="1">
      <c r="B4" s="5" t="s">
        <v>15</v>
      </c>
      <c r="C4" s="16" t="str">
        <f>Demographic!C4</f>
        <v>Kenya</v>
      </c>
      <c r="G4" s="5" t="s">
        <v>16</v>
      </c>
      <c r="H4" s="7" t="str">
        <f>Demographic!G4</f>
        <v>AFR</v>
      </c>
      <c r="M4" s="5" t="s">
        <v>17</v>
      </c>
      <c r="N4" s="7">
        <f>Demographic!Q4</f>
        <v>2023</v>
      </c>
    </row>
    <row r="5" spans="1:36" ht="15" customHeight="1">
      <c r="B5" s="2"/>
      <c r="C5" s="2"/>
      <c r="D5" s="2"/>
      <c r="E5" s="2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6" ht="14.25" customHeight="1">
      <c r="B6" s="34" t="s">
        <v>26</v>
      </c>
      <c r="C6" s="34" t="s">
        <v>27</v>
      </c>
      <c r="D6" s="34" t="s">
        <v>28</v>
      </c>
      <c r="E6" s="36" t="s">
        <v>31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</row>
    <row r="7" spans="1:36" ht="14.25" customHeight="1">
      <c r="B7" s="42"/>
      <c r="C7" s="42"/>
      <c r="D7" s="42"/>
      <c r="E7" s="36" t="s">
        <v>41</v>
      </c>
      <c r="F7" s="37"/>
      <c r="G7" s="37"/>
      <c r="H7" s="37"/>
      <c r="I7" s="37"/>
      <c r="J7" s="38"/>
      <c r="K7" s="36" t="s">
        <v>42</v>
      </c>
      <c r="L7" s="37"/>
      <c r="M7" s="37"/>
      <c r="N7" s="37"/>
      <c r="O7" s="37"/>
      <c r="P7" s="38"/>
    </row>
    <row r="8" spans="1:36" ht="14.25" customHeight="1">
      <c r="B8" s="35"/>
      <c r="C8" s="35"/>
      <c r="D8" s="35"/>
      <c r="E8" s="10" t="s">
        <v>883</v>
      </c>
      <c r="F8" s="10" t="s">
        <v>44</v>
      </c>
      <c r="G8" s="11" t="s">
        <v>45</v>
      </c>
      <c r="H8" s="11" t="s">
        <v>46</v>
      </c>
      <c r="I8" s="10" t="s">
        <v>47</v>
      </c>
      <c r="J8" s="10" t="s">
        <v>884</v>
      </c>
      <c r="K8" s="10" t="s">
        <v>883</v>
      </c>
      <c r="L8" s="10" t="s">
        <v>44</v>
      </c>
      <c r="M8" s="10" t="s">
        <v>45</v>
      </c>
      <c r="N8" s="10" t="s">
        <v>46</v>
      </c>
      <c r="O8" s="10" t="s">
        <v>47</v>
      </c>
      <c r="P8" s="10" t="s">
        <v>884</v>
      </c>
    </row>
    <row r="9" spans="1:36" ht="18" customHeight="1">
      <c r="A9" s="12"/>
      <c r="B9" s="13">
        <v>1</v>
      </c>
      <c r="C9" s="14" t="s">
        <v>57</v>
      </c>
      <c r="D9" s="15">
        <f>Demographic!D8</f>
        <v>4667</v>
      </c>
      <c r="E9" s="15">
        <f t="shared" ref="E9:P9" si="0">IF(COUNT(E10,E11,E18)&gt;0,SUM(E10,E11,E18),NA())</f>
        <v>25</v>
      </c>
      <c r="F9" s="15">
        <f t="shared" si="0"/>
        <v>657</v>
      </c>
      <c r="G9" s="15">
        <f t="shared" si="0"/>
        <v>1013</v>
      </c>
      <c r="H9" s="15">
        <f t="shared" si="0"/>
        <v>432</v>
      </c>
      <c r="I9" s="15">
        <f t="shared" si="0"/>
        <v>152</v>
      </c>
      <c r="J9" s="15">
        <f t="shared" si="0"/>
        <v>53</v>
      </c>
      <c r="K9" s="15">
        <f t="shared" si="0"/>
        <v>13</v>
      </c>
      <c r="L9" s="15">
        <f t="shared" si="0"/>
        <v>569</v>
      </c>
      <c r="M9" s="15">
        <f t="shared" si="0"/>
        <v>766</v>
      </c>
      <c r="N9" s="15">
        <f t="shared" si="0"/>
        <v>203</v>
      </c>
      <c r="O9" s="15">
        <f t="shared" si="0"/>
        <v>100</v>
      </c>
      <c r="P9" s="15">
        <f t="shared" si="0"/>
        <v>107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18" customHeight="1">
      <c r="A10" s="12"/>
      <c r="B10" s="13">
        <v>1.1000000000000001</v>
      </c>
      <c r="C10" s="14" t="s">
        <v>62</v>
      </c>
      <c r="D10" s="17">
        <f>Demographic!D9</f>
        <v>3015</v>
      </c>
      <c r="E10" s="13">
        <v>14</v>
      </c>
      <c r="F10" s="13">
        <v>633</v>
      </c>
      <c r="G10" s="13">
        <v>769</v>
      </c>
      <c r="H10" s="13">
        <v>219</v>
      </c>
      <c r="I10" s="13">
        <v>71</v>
      </c>
      <c r="J10" s="13">
        <v>22</v>
      </c>
      <c r="K10" s="13">
        <v>9</v>
      </c>
      <c r="L10" s="13">
        <v>543</v>
      </c>
      <c r="M10" s="13">
        <v>550</v>
      </c>
      <c r="N10" s="13">
        <v>102</v>
      </c>
      <c r="O10" s="13">
        <v>43</v>
      </c>
      <c r="P10" s="13">
        <v>69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18" customHeight="1">
      <c r="A11" s="12"/>
      <c r="B11" s="13">
        <v>1.2</v>
      </c>
      <c r="C11" s="14" t="s">
        <v>66</v>
      </c>
      <c r="D11" s="17">
        <f>Demographic!D10</f>
        <v>1652</v>
      </c>
      <c r="E11" s="13">
        <v>11</v>
      </c>
      <c r="F11" s="13">
        <v>24</v>
      </c>
      <c r="G11" s="13">
        <v>244</v>
      </c>
      <c r="H11" s="13">
        <v>213</v>
      </c>
      <c r="I11" s="13">
        <v>81</v>
      </c>
      <c r="J11" s="13">
        <v>31</v>
      </c>
      <c r="K11" s="13">
        <v>4</v>
      </c>
      <c r="L11" s="13">
        <v>26</v>
      </c>
      <c r="M11" s="13">
        <v>216</v>
      </c>
      <c r="N11" s="13">
        <v>101</v>
      </c>
      <c r="O11" s="13">
        <v>57</v>
      </c>
      <c r="P11" s="13">
        <v>38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18" customHeight="1">
      <c r="A12" s="12"/>
      <c r="B12" s="13" t="s">
        <v>70</v>
      </c>
      <c r="C12" s="14" t="s">
        <v>71</v>
      </c>
      <c r="D12" s="17">
        <f>Demographic!D11</f>
        <v>238</v>
      </c>
      <c r="E12" s="13">
        <v>1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18" customHeight="1">
      <c r="A13" s="12"/>
      <c r="B13" s="13" t="s">
        <v>75</v>
      </c>
      <c r="C13" s="14" t="s">
        <v>76</v>
      </c>
      <c r="D13" s="17">
        <f>Demographic!D12</f>
        <v>296</v>
      </c>
      <c r="E13" s="13">
        <v>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18" customHeight="1">
      <c r="A14" s="12"/>
      <c r="B14" s="13" t="s">
        <v>80</v>
      </c>
      <c r="C14" s="14" t="s">
        <v>81</v>
      </c>
      <c r="D14" s="17">
        <f>Demographic!D13</f>
        <v>0</v>
      </c>
      <c r="E14" s="13">
        <v>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18" customHeight="1">
      <c r="A15" s="12"/>
      <c r="B15" s="13" t="s">
        <v>85</v>
      </c>
      <c r="C15" s="14" t="s">
        <v>86</v>
      </c>
      <c r="D15" s="17">
        <f>Demographic!D14</f>
        <v>403</v>
      </c>
      <c r="E15" s="13">
        <v>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18" customHeight="1">
      <c r="A16" s="12"/>
      <c r="B16" s="13" t="s">
        <v>90</v>
      </c>
      <c r="C16" s="14" t="s">
        <v>91</v>
      </c>
      <c r="D16" s="17">
        <f>Demographic!D15</f>
        <v>479</v>
      </c>
      <c r="E16" s="13">
        <v>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18" customHeight="1">
      <c r="A17" s="12"/>
      <c r="B17" s="13" t="s">
        <v>95</v>
      </c>
      <c r="C17" s="14" t="s">
        <v>96</v>
      </c>
      <c r="D17" s="17">
        <f>Demographic!D16</f>
        <v>129</v>
      </c>
      <c r="E17" s="13">
        <v>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18" customHeight="1">
      <c r="A18" s="12"/>
      <c r="B18" s="13">
        <v>1.3</v>
      </c>
      <c r="C18" s="14" t="s">
        <v>100</v>
      </c>
      <c r="D18" s="17">
        <f>Demographic!D17</f>
        <v>0</v>
      </c>
      <c r="E18" s="13">
        <v>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18" customHeight="1">
      <c r="A19" s="12"/>
      <c r="B19" s="13">
        <v>2</v>
      </c>
      <c r="C19" s="14" t="s">
        <v>104</v>
      </c>
      <c r="D19" s="15">
        <f>Demographic!D18</f>
        <v>34552</v>
      </c>
      <c r="E19" s="15">
        <f t="shared" ref="E19:P19" si="1">IF(COUNT(E20,E21,E22)&gt;0,SUM(E20,E21,E22),NA())</f>
        <v>496</v>
      </c>
      <c r="F19" s="15">
        <f t="shared" si="1"/>
        <v>3228</v>
      </c>
      <c r="G19" s="15">
        <f t="shared" si="1"/>
        <v>3863</v>
      </c>
      <c r="H19" s="15">
        <f t="shared" si="1"/>
        <v>2190</v>
      </c>
      <c r="I19" s="15">
        <f t="shared" si="1"/>
        <v>905</v>
      </c>
      <c r="J19" s="15">
        <f t="shared" si="1"/>
        <v>406</v>
      </c>
      <c r="K19" s="15">
        <f t="shared" si="1"/>
        <v>217</v>
      </c>
      <c r="L19" s="15">
        <f t="shared" si="1"/>
        <v>6015</v>
      </c>
      <c r="M19" s="15">
        <f t="shared" si="1"/>
        <v>7102</v>
      </c>
      <c r="N19" s="15">
        <f t="shared" si="1"/>
        <v>4987</v>
      </c>
      <c r="O19" s="15">
        <f t="shared" si="1"/>
        <v>2895</v>
      </c>
      <c r="P19" s="15">
        <f t="shared" si="1"/>
        <v>1247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18" customHeight="1">
      <c r="A20" s="12"/>
      <c r="B20" s="13">
        <v>2.1</v>
      </c>
      <c r="C20" s="14" t="s">
        <v>109</v>
      </c>
      <c r="D20" s="17">
        <f>Demographic!D19</f>
        <v>33542</v>
      </c>
      <c r="E20" s="13">
        <v>486</v>
      </c>
      <c r="F20" s="13">
        <v>3115</v>
      </c>
      <c r="G20" s="13">
        <v>3617</v>
      </c>
      <c r="H20" s="13">
        <v>2106</v>
      </c>
      <c r="I20" s="13">
        <v>862</v>
      </c>
      <c r="J20" s="13">
        <v>406</v>
      </c>
      <c r="K20" s="13">
        <v>202</v>
      </c>
      <c r="L20" s="13">
        <v>5829</v>
      </c>
      <c r="M20" s="13">
        <v>6888</v>
      </c>
      <c r="N20" s="13">
        <v>4803</v>
      </c>
      <c r="O20" s="13">
        <v>2728</v>
      </c>
      <c r="P20" s="13">
        <v>1245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18" customHeight="1">
      <c r="A21" s="12"/>
      <c r="B21" s="13">
        <v>2.2000000000000002</v>
      </c>
      <c r="C21" s="14" t="s">
        <v>113</v>
      </c>
      <c r="D21" s="17">
        <f>Demographic!D20</f>
        <v>1010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18" customHeight="1">
      <c r="A22" s="12"/>
      <c r="B22" s="13">
        <v>2.2999999999999998</v>
      </c>
      <c r="C22" s="14" t="s">
        <v>117</v>
      </c>
      <c r="D22" s="17">
        <f>Demographic!D21</f>
        <v>0</v>
      </c>
      <c r="E22" s="13">
        <v>10</v>
      </c>
      <c r="F22" s="13">
        <v>113</v>
      </c>
      <c r="G22" s="13">
        <v>246</v>
      </c>
      <c r="H22" s="13">
        <v>84</v>
      </c>
      <c r="I22" s="13">
        <v>43</v>
      </c>
      <c r="J22" s="13">
        <v>0</v>
      </c>
      <c r="K22" s="13">
        <v>15</v>
      </c>
      <c r="L22" s="13">
        <v>186</v>
      </c>
      <c r="M22" s="13">
        <v>214</v>
      </c>
      <c r="N22" s="13">
        <v>184</v>
      </c>
      <c r="O22" s="13">
        <v>167</v>
      </c>
      <c r="P22" s="13">
        <v>2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18" customHeight="1">
      <c r="A23" s="12"/>
      <c r="B23" s="13">
        <v>3</v>
      </c>
      <c r="C23" s="14" t="s">
        <v>121</v>
      </c>
      <c r="D23" s="15">
        <f>Demographic!D22</f>
        <v>277</v>
      </c>
      <c r="E23" s="15">
        <f t="shared" ref="E23:P23" si="2">IF(COUNT(E24,E25,E26)&gt;0,SUM(E24,E25,E26),NA())</f>
        <v>10</v>
      </c>
      <c r="F23" s="15">
        <f t="shared" si="2"/>
        <v>1</v>
      </c>
      <c r="G23" s="15">
        <f t="shared" si="2"/>
        <v>11</v>
      </c>
      <c r="H23" s="15">
        <f t="shared" si="2"/>
        <v>13</v>
      </c>
      <c r="I23" s="15">
        <f t="shared" si="2"/>
        <v>11</v>
      </c>
      <c r="J23" s="15">
        <f t="shared" si="2"/>
        <v>5</v>
      </c>
      <c r="K23" s="15">
        <f t="shared" si="2"/>
        <v>15</v>
      </c>
      <c r="L23" s="15">
        <f t="shared" si="2"/>
        <v>190</v>
      </c>
      <c r="M23" s="15">
        <f t="shared" si="2"/>
        <v>246</v>
      </c>
      <c r="N23" s="15">
        <f t="shared" si="2"/>
        <v>195</v>
      </c>
      <c r="O23" s="15">
        <f t="shared" si="2"/>
        <v>202</v>
      </c>
      <c r="P23" s="15">
        <f t="shared" si="2"/>
        <v>31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18" customHeight="1">
      <c r="A24" s="12"/>
      <c r="B24" s="13">
        <v>3.1</v>
      </c>
      <c r="C24" s="14" t="s">
        <v>125</v>
      </c>
      <c r="D24" s="17">
        <f>Demographic!D23</f>
        <v>102</v>
      </c>
      <c r="E24" s="13">
        <v>0</v>
      </c>
      <c r="F24" s="13">
        <v>1</v>
      </c>
      <c r="G24" s="13">
        <v>5</v>
      </c>
      <c r="H24" s="13">
        <v>8</v>
      </c>
      <c r="I24" s="13">
        <v>11</v>
      </c>
      <c r="J24" s="13">
        <v>5</v>
      </c>
      <c r="K24" s="13">
        <v>15</v>
      </c>
      <c r="L24" s="13">
        <v>186</v>
      </c>
      <c r="M24" s="13">
        <v>214</v>
      </c>
      <c r="N24" s="13">
        <v>184</v>
      </c>
      <c r="O24" s="13">
        <v>167</v>
      </c>
      <c r="P24" s="13">
        <v>2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18" customHeight="1">
      <c r="A25" s="12"/>
      <c r="B25" s="13">
        <v>3.2</v>
      </c>
      <c r="C25" s="14" t="s">
        <v>129</v>
      </c>
      <c r="D25" s="17">
        <f>Demographic!D24</f>
        <v>175</v>
      </c>
      <c r="E25" s="13">
        <v>10</v>
      </c>
      <c r="F25" s="13">
        <v>0</v>
      </c>
      <c r="G25" s="13">
        <v>6</v>
      </c>
      <c r="H25" s="13">
        <v>5</v>
      </c>
      <c r="I25" s="13">
        <v>0</v>
      </c>
      <c r="J25" s="13">
        <v>0</v>
      </c>
      <c r="K25" s="13">
        <v>0</v>
      </c>
      <c r="L25" s="13">
        <v>4</v>
      </c>
      <c r="M25" s="13">
        <v>32</v>
      </c>
      <c r="N25" s="13">
        <v>11</v>
      </c>
      <c r="O25" s="13">
        <v>35</v>
      </c>
      <c r="P25" s="13">
        <v>29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18" customHeight="1">
      <c r="A26" s="12"/>
      <c r="B26" s="13">
        <v>3.3</v>
      </c>
      <c r="C26" s="14" t="s">
        <v>133</v>
      </c>
      <c r="D26" s="17">
        <f>Demographic!D25</f>
        <v>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ht="18" customHeight="1">
      <c r="A27" s="12"/>
      <c r="B27" s="13">
        <v>4</v>
      </c>
      <c r="C27" s="14" t="s">
        <v>137</v>
      </c>
      <c r="D27" s="17">
        <f>Demographic!D26</f>
        <v>372</v>
      </c>
      <c r="E27" s="13">
        <v>33</v>
      </c>
      <c r="F27" s="13">
        <v>57</v>
      </c>
      <c r="G27" s="13">
        <v>76</v>
      </c>
      <c r="H27" s="13">
        <v>51</v>
      </c>
      <c r="I27" s="13">
        <v>26</v>
      </c>
      <c r="J27" s="13">
        <v>22</v>
      </c>
      <c r="K27" s="13">
        <v>1</v>
      </c>
      <c r="L27" s="13">
        <v>56</v>
      </c>
      <c r="M27" s="13">
        <v>89</v>
      </c>
      <c r="N27" s="13">
        <v>44</v>
      </c>
      <c r="O27" s="13">
        <v>7</v>
      </c>
      <c r="P27" s="13">
        <v>55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ht="18" customHeight="1">
      <c r="A28" s="12"/>
      <c r="B28" s="13">
        <v>5</v>
      </c>
      <c r="C28" s="14" t="s">
        <v>141</v>
      </c>
      <c r="D28" s="17">
        <f>Demographic!D27</f>
        <v>382</v>
      </c>
      <c r="E28" s="13">
        <v>22</v>
      </c>
      <c r="F28" s="13">
        <v>126</v>
      </c>
      <c r="G28" s="13">
        <v>391</v>
      </c>
      <c r="H28" s="13">
        <v>124</v>
      </c>
      <c r="I28" s="13">
        <v>22</v>
      </c>
      <c r="J28" s="13">
        <v>26</v>
      </c>
      <c r="K28" s="13">
        <v>3</v>
      </c>
      <c r="L28" s="13">
        <v>142</v>
      </c>
      <c r="M28" s="13">
        <v>249</v>
      </c>
      <c r="N28" s="13">
        <v>77</v>
      </c>
      <c r="O28" s="13">
        <v>10</v>
      </c>
      <c r="P28" s="13">
        <v>44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ht="18" customHeight="1">
      <c r="A29" s="12"/>
      <c r="B29" s="13">
        <v>6</v>
      </c>
      <c r="C29" s="14" t="s">
        <v>145</v>
      </c>
      <c r="D29" s="17">
        <f>Demographic!D28</f>
        <v>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ht="18" customHeight="1">
      <c r="A30" s="12"/>
      <c r="B30" s="13">
        <v>7</v>
      </c>
      <c r="C30" s="14" t="s">
        <v>150</v>
      </c>
      <c r="D30" s="17">
        <f>Demographic!D29</f>
        <v>1186</v>
      </c>
      <c r="E30" s="13">
        <v>22</v>
      </c>
      <c r="F30" s="13">
        <v>126</v>
      </c>
      <c r="G30" s="13">
        <v>391</v>
      </c>
      <c r="H30" s="13">
        <v>124</v>
      </c>
      <c r="I30" s="13">
        <v>22</v>
      </c>
      <c r="J30" s="13">
        <v>26</v>
      </c>
      <c r="K30" s="13">
        <v>3</v>
      </c>
      <c r="L30" s="13">
        <v>142</v>
      </c>
      <c r="M30" s="13">
        <v>249</v>
      </c>
      <c r="N30" s="13">
        <v>77</v>
      </c>
      <c r="O30" s="13">
        <v>10</v>
      </c>
      <c r="P30" s="13">
        <v>44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ht="18" customHeight="1">
      <c r="A31" s="12"/>
      <c r="B31" s="13">
        <v>8</v>
      </c>
      <c r="C31" s="14" t="s">
        <v>154</v>
      </c>
      <c r="D31" s="17">
        <f>Demographic!D30</f>
        <v>1929</v>
      </c>
      <c r="E31" s="13">
        <v>22</v>
      </c>
      <c r="F31" s="13">
        <v>259</v>
      </c>
      <c r="G31" s="13">
        <v>568</v>
      </c>
      <c r="H31" s="13">
        <v>129</v>
      </c>
      <c r="I31" s="13">
        <v>13</v>
      </c>
      <c r="J31" s="13">
        <v>64</v>
      </c>
      <c r="K31" s="13">
        <v>25</v>
      </c>
      <c r="L31" s="13">
        <v>221</v>
      </c>
      <c r="M31" s="13">
        <v>459</v>
      </c>
      <c r="N31" s="13">
        <v>111</v>
      </c>
      <c r="O31" s="13">
        <v>9</v>
      </c>
      <c r="P31" s="13">
        <v>101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ht="18" customHeight="1">
      <c r="A32" s="12"/>
      <c r="B32" s="13">
        <v>9</v>
      </c>
      <c r="C32" s="14" t="s">
        <v>158</v>
      </c>
      <c r="D32" s="17">
        <f>Demographic!D31</f>
        <v>7984</v>
      </c>
      <c r="E32" s="13">
        <v>30</v>
      </c>
      <c r="F32" s="13">
        <v>1024</v>
      </c>
      <c r="G32" s="13">
        <v>2215</v>
      </c>
      <c r="H32" s="13">
        <v>792</v>
      </c>
      <c r="I32" s="13">
        <v>196</v>
      </c>
      <c r="J32" s="13">
        <v>289</v>
      </c>
      <c r="K32" s="13">
        <v>31</v>
      </c>
      <c r="L32" s="13">
        <v>1052</v>
      </c>
      <c r="M32" s="13">
        <v>1845</v>
      </c>
      <c r="N32" s="13">
        <v>569</v>
      </c>
      <c r="O32" s="13">
        <v>127</v>
      </c>
      <c r="P32" s="13">
        <v>351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ht="18" customHeight="1">
      <c r="A33" s="12"/>
      <c r="B33" s="13">
        <v>10</v>
      </c>
      <c r="C33" s="14" t="s">
        <v>162</v>
      </c>
      <c r="D33" s="17">
        <f>Demographic!D32</f>
        <v>0</v>
      </c>
      <c r="E33" s="13">
        <v>18</v>
      </c>
      <c r="F33" s="13">
        <v>609</v>
      </c>
      <c r="G33" s="13">
        <v>1088</v>
      </c>
      <c r="H33" s="13">
        <v>693</v>
      </c>
      <c r="I33" s="13">
        <v>282</v>
      </c>
      <c r="J33" s="13">
        <v>155</v>
      </c>
      <c r="K33" s="13">
        <v>22</v>
      </c>
      <c r="L33" s="13">
        <v>567</v>
      </c>
      <c r="M33" s="13">
        <v>936</v>
      </c>
      <c r="N33" s="13">
        <v>604</v>
      </c>
      <c r="O33" s="13">
        <v>200</v>
      </c>
      <c r="P33" s="13">
        <v>165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ht="18" customHeight="1">
      <c r="A34" s="12"/>
      <c r="B34" s="13">
        <v>11</v>
      </c>
      <c r="C34" s="14" t="s">
        <v>166</v>
      </c>
      <c r="D34" s="17">
        <f>Demographic!D33</f>
        <v>836</v>
      </c>
      <c r="E34" s="13">
        <v>4</v>
      </c>
      <c r="F34" s="13">
        <v>222</v>
      </c>
      <c r="G34" s="13">
        <v>142</v>
      </c>
      <c r="H34" s="13">
        <v>89</v>
      </c>
      <c r="I34" s="13">
        <v>21</v>
      </c>
      <c r="J34" s="13">
        <v>14</v>
      </c>
      <c r="K34" s="13">
        <v>6</v>
      </c>
      <c r="L34" s="13">
        <v>129</v>
      </c>
      <c r="M34" s="13">
        <v>92</v>
      </c>
      <c r="N34" s="13">
        <v>44</v>
      </c>
      <c r="O34" s="13">
        <v>8</v>
      </c>
      <c r="P34" s="13">
        <v>12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ht="18" customHeight="1">
      <c r="A35" s="12"/>
      <c r="B35" s="13">
        <v>12</v>
      </c>
      <c r="C35" s="14" t="s">
        <v>170</v>
      </c>
      <c r="D35" s="17">
        <f>Demographic!D34</f>
        <v>5310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1:36" ht="18" customHeight="1">
      <c r="A36" s="12"/>
      <c r="B36" s="13">
        <v>13</v>
      </c>
      <c r="C36" s="14" t="s">
        <v>174</v>
      </c>
      <c r="D36" s="17">
        <f>Demographic!D35</f>
        <v>5055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 ht="18" customHeight="1">
      <c r="A37" s="12"/>
      <c r="B37" s="13">
        <v>14</v>
      </c>
      <c r="C37" s="14" t="s">
        <v>178</v>
      </c>
      <c r="D37" s="17">
        <f>Demographic!D36</f>
        <v>0</v>
      </c>
      <c r="E37" s="13">
        <v>34</v>
      </c>
      <c r="F37" s="13">
        <v>540</v>
      </c>
      <c r="G37" s="13">
        <v>730</v>
      </c>
      <c r="H37" s="13">
        <v>971</v>
      </c>
      <c r="I37" s="13">
        <v>523</v>
      </c>
      <c r="J37" s="13">
        <v>98</v>
      </c>
      <c r="K37" s="13">
        <v>39</v>
      </c>
      <c r="L37" s="13">
        <v>512</v>
      </c>
      <c r="M37" s="13">
        <v>619</v>
      </c>
      <c r="N37" s="13">
        <v>617</v>
      </c>
      <c r="O37" s="13">
        <v>258</v>
      </c>
      <c r="P37" s="13">
        <v>110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 ht="18" customHeight="1">
      <c r="A38" s="12"/>
      <c r="B38" s="13">
        <v>15</v>
      </c>
      <c r="C38" s="14" t="s">
        <v>182</v>
      </c>
      <c r="D38" s="17">
        <f>Demographic!D37</f>
        <v>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 ht="18" customHeight="1">
      <c r="A39" s="12"/>
      <c r="B39" s="13">
        <v>16</v>
      </c>
      <c r="C39" s="14" t="s">
        <v>186</v>
      </c>
      <c r="D39" s="17">
        <f>Demographic!D38</f>
        <v>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 ht="18" customHeight="1">
      <c r="A40" s="12"/>
      <c r="B40" s="13">
        <v>17</v>
      </c>
      <c r="C40" s="14" t="s">
        <v>190</v>
      </c>
      <c r="D40" s="17">
        <f>Demographic!D39</f>
        <v>6344</v>
      </c>
      <c r="E40" s="13">
        <v>103</v>
      </c>
      <c r="F40" s="13">
        <v>465</v>
      </c>
      <c r="G40" s="13">
        <v>1882</v>
      </c>
      <c r="H40" s="13">
        <v>335</v>
      </c>
      <c r="I40" s="13">
        <v>43</v>
      </c>
      <c r="J40" s="13">
        <v>26</v>
      </c>
      <c r="K40" s="13">
        <v>90</v>
      </c>
      <c r="L40" s="13">
        <v>767</v>
      </c>
      <c r="M40" s="13">
        <v>2150</v>
      </c>
      <c r="N40" s="13">
        <v>527</v>
      </c>
      <c r="O40" s="13">
        <v>32</v>
      </c>
      <c r="P40" s="13">
        <v>52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 ht="18" customHeight="1">
      <c r="A41" s="12"/>
      <c r="B41" s="13">
        <v>18</v>
      </c>
      <c r="C41" s="14" t="s">
        <v>194</v>
      </c>
      <c r="D41" s="17">
        <f>Demographic!D40</f>
        <v>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 ht="18" customHeight="1">
      <c r="A42" s="12"/>
      <c r="B42" s="13">
        <v>18.100000000000001</v>
      </c>
      <c r="C42" s="14" t="s">
        <v>198</v>
      </c>
      <c r="D42" s="17">
        <f>Demographic!D41</f>
        <v>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 ht="18" customHeight="1">
      <c r="A43" s="12"/>
      <c r="B43" s="13">
        <v>18.2</v>
      </c>
      <c r="C43" s="14" t="s">
        <v>202</v>
      </c>
      <c r="D43" s="17">
        <f>Demographic!D42</f>
        <v>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 ht="18" customHeight="1">
      <c r="A44" s="12"/>
      <c r="B44" s="13">
        <v>18.3</v>
      </c>
      <c r="C44" s="14" t="s">
        <v>206</v>
      </c>
      <c r="D44" s="17">
        <f>Demographic!D43</f>
        <v>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 ht="18" customHeight="1">
      <c r="A45" s="12"/>
      <c r="B45" s="13">
        <v>19</v>
      </c>
      <c r="C45" s="14" t="s">
        <v>210</v>
      </c>
      <c r="D45" s="17">
        <f>Demographic!D44</f>
        <v>705</v>
      </c>
      <c r="E45" s="13">
        <v>3</v>
      </c>
      <c r="F45" s="13">
        <v>124</v>
      </c>
      <c r="G45" s="13">
        <v>147</v>
      </c>
      <c r="H45" s="13">
        <v>73</v>
      </c>
      <c r="I45" s="13">
        <v>45</v>
      </c>
      <c r="J45" s="13">
        <v>20</v>
      </c>
      <c r="K45" s="13">
        <v>5</v>
      </c>
      <c r="L45" s="13">
        <v>107</v>
      </c>
      <c r="M45" s="13">
        <v>133</v>
      </c>
      <c r="N45" s="13">
        <v>52</v>
      </c>
      <c r="O45" s="13">
        <v>15</v>
      </c>
      <c r="P45" s="13">
        <v>17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1:36" ht="18" customHeight="1">
      <c r="A46" s="12"/>
      <c r="B46" s="13">
        <v>20</v>
      </c>
      <c r="C46" s="14" t="s">
        <v>214</v>
      </c>
      <c r="D46" s="17">
        <f>Demographic!D45</f>
        <v>68</v>
      </c>
      <c r="E46" s="13">
        <v>0</v>
      </c>
      <c r="F46" s="13">
        <v>23</v>
      </c>
      <c r="G46" s="13">
        <v>47</v>
      </c>
      <c r="H46" s="13">
        <v>56</v>
      </c>
      <c r="I46" s="13">
        <v>32</v>
      </c>
      <c r="J46" s="13">
        <v>0</v>
      </c>
      <c r="K46" s="13">
        <v>0</v>
      </c>
      <c r="L46" s="13">
        <v>32</v>
      </c>
      <c r="M46" s="13">
        <v>45</v>
      </c>
      <c r="N46" s="13">
        <v>52</v>
      </c>
      <c r="O46" s="13">
        <v>23</v>
      </c>
      <c r="P46" s="13">
        <v>0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 ht="18" customHeight="1">
      <c r="A47" s="12"/>
      <c r="B47" s="13">
        <v>21</v>
      </c>
      <c r="C47" s="14" t="s">
        <v>218</v>
      </c>
      <c r="D47" s="17">
        <f>Demographic!D46</f>
        <v>0</v>
      </c>
      <c r="E47" s="13">
        <v>13</v>
      </c>
      <c r="F47" s="13">
        <v>312</v>
      </c>
      <c r="G47" s="13">
        <v>298</v>
      </c>
      <c r="H47" s="13">
        <v>113</v>
      </c>
      <c r="I47" s="13">
        <v>32</v>
      </c>
      <c r="J47" s="13">
        <v>39</v>
      </c>
      <c r="K47" s="13">
        <v>29</v>
      </c>
      <c r="L47" s="13">
        <v>732</v>
      </c>
      <c r="M47" s="13">
        <v>543</v>
      </c>
      <c r="N47" s="13">
        <v>232</v>
      </c>
      <c r="O47" s="13">
        <v>102</v>
      </c>
      <c r="P47" s="13">
        <v>197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 ht="18" customHeight="1">
      <c r="A48" s="12"/>
      <c r="B48" s="13">
        <v>22</v>
      </c>
      <c r="C48" s="14" t="s">
        <v>222</v>
      </c>
      <c r="D48" s="17">
        <f>Demographic!D47</f>
        <v>2146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36" ht="18" customHeight="1">
      <c r="A49" s="12"/>
      <c r="B49" s="13">
        <v>23</v>
      </c>
      <c r="C49" s="14" t="s">
        <v>226</v>
      </c>
      <c r="D49" s="17">
        <f>Demographic!D48</f>
        <v>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 ht="18" customHeight="1">
      <c r="A50" s="12"/>
      <c r="B50" s="13">
        <v>24</v>
      </c>
      <c r="C50" s="14" t="s">
        <v>230</v>
      </c>
      <c r="D50" s="17">
        <f>Demographic!D49</f>
        <v>18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 ht="18" customHeight="1">
      <c r="A51" s="12"/>
      <c r="B51" s="13">
        <v>25</v>
      </c>
      <c r="C51" s="14" t="s">
        <v>234</v>
      </c>
      <c r="D51" s="17">
        <f>Demographic!D50</f>
        <v>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 ht="18" customHeight="1">
      <c r="A52" s="12"/>
      <c r="B52" s="13">
        <v>26</v>
      </c>
      <c r="C52" s="14" t="s">
        <v>238</v>
      </c>
      <c r="D52" s="17">
        <f>Demographic!D51</f>
        <v>224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 ht="18" customHeight="1">
      <c r="A53" s="12"/>
      <c r="B53" s="13">
        <v>27</v>
      </c>
      <c r="C53" s="14" t="s">
        <v>242</v>
      </c>
      <c r="D53" s="17">
        <f>Demographic!D52</f>
        <v>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 ht="18" customHeight="1">
      <c r="A54" s="12"/>
      <c r="B54" s="13">
        <v>28</v>
      </c>
      <c r="C54" s="14" t="s">
        <v>246</v>
      </c>
      <c r="D54" s="17">
        <f>Demographic!D53</f>
        <v>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 ht="18" customHeight="1">
      <c r="A55" s="12"/>
      <c r="B55" s="13">
        <v>29</v>
      </c>
      <c r="C55" s="14" t="s">
        <v>250</v>
      </c>
      <c r="D55" s="17">
        <f>Demographic!D54</f>
        <v>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 ht="18" customHeight="1">
      <c r="A56" s="12"/>
      <c r="B56" s="13">
        <v>30</v>
      </c>
      <c r="C56" s="14" t="s">
        <v>254</v>
      </c>
      <c r="D56" s="17">
        <f>Demographic!D55</f>
        <v>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 ht="18" customHeight="1">
      <c r="A57" s="12"/>
      <c r="B57" s="13">
        <v>31</v>
      </c>
      <c r="C57" s="14" t="s">
        <v>258</v>
      </c>
      <c r="D57" s="17">
        <f>Demographic!D56</f>
        <v>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1:36" ht="18" customHeight="1">
      <c r="A58" s="12"/>
      <c r="B58" s="13">
        <v>32</v>
      </c>
      <c r="C58" s="14" t="s">
        <v>262</v>
      </c>
      <c r="D58" s="17">
        <f>Demographic!D57</f>
        <v>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1:36" ht="18" customHeight="1">
      <c r="A59" s="12"/>
      <c r="B59" s="13">
        <v>33</v>
      </c>
      <c r="C59" s="14" t="s">
        <v>266</v>
      </c>
      <c r="D59" s="17">
        <f>Demographic!D58</f>
        <v>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1:36" ht="18" customHeight="1">
      <c r="A60" s="12"/>
      <c r="B60" s="13">
        <v>34</v>
      </c>
      <c r="C60" s="14" t="s">
        <v>270</v>
      </c>
      <c r="D60" s="17">
        <f>Demographic!D59</f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 ht="18" customHeight="1">
      <c r="A61" s="12"/>
      <c r="B61" s="13">
        <v>35</v>
      </c>
      <c r="C61" s="14" t="s">
        <v>274</v>
      </c>
      <c r="D61" s="17">
        <f>Demographic!D60</f>
        <v>2630</v>
      </c>
      <c r="E61" s="13">
        <v>52</v>
      </c>
      <c r="F61" s="13">
        <v>159</v>
      </c>
      <c r="G61" s="13">
        <v>559</v>
      </c>
      <c r="H61" s="13">
        <v>465</v>
      </c>
      <c r="I61" s="13">
        <v>233</v>
      </c>
      <c r="J61" s="13">
        <v>10</v>
      </c>
      <c r="K61" s="13">
        <v>10</v>
      </c>
      <c r="L61" s="13">
        <v>147</v>
      </c>
      <c r="M61" s="13">
        <v>448</v>
      </c>
      <c r="N61" s="13">
        <v>350</v>
      </c>
      <c r="O61" s="13">
        <v>164</v>
      </c>
      <c r="P61" s="13">
        <v>4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1:36" ht="18" customHeight="1">
      <c r="A62" s="12"/>
      <c r="B62" s="13">
        <v>36</v>
      </c>
      <c r="C62" s="14" t="s">
        <v>278</v>
      </c>
      <c r="D62" s="17">
        <f>Demographic!D61</f>
        <v>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1:36" ht="18" customHeight="1">
      <c r="A63" s="12"/>
      <c r="B63" s="13">
        <v>37</v>
      </c>
      <c r="C63" s="14" t="s">
        <v>282</v>
      </c>
      <c r="D63" s="17">
        <f>Demographic!D62</f>
        <v>2254</v>
      </c>
      <c r="E63" s="13">
        <v>9</v>
      </c>
      <c r="F63" s="13">
        <v>373</v>
      </c>
      <c r="G63" s="13">
        <v>307</v>
      </c>
      <c r="H63" s="13">
        <v>179</v>
      </c>
      <c r="I63" s="13">
        <v>77</v>
      </c>
      <c r="J63" s="13">
        <v>67</v>
      </c>
      <c r="K63" s="13">
        <v>22</v>
      </c>
      <c r="L63" s="13">
        <v>588</v>
      </c>
      <c r="M63" s="13">
        <v>440</v>
      </c>
      <c r="N63" s="13">
        <v>206</v>
      </c>
      <c r="O63" s="13">
        <v>81</v>
      </c>
      <c r="P63" s="13">
        <v>105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1:36" ht="18" customHeight="1">
      <c r="A64" s="12"/>
      <c r="B64" s="13">
        <v>38</v>
      </c>
      <c r="C64" s="14" t="s">
        <v>286</v>
      </c>
      <c r="D64" s="17">
        <f>Demographic!D63</f>
        <v>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1:36" ht="18" customHeight="1">
      <c r="A65" s="12"/>
      <c r="B65" s="13">
        <v>39</v>
      </c>
      <c r="C65" s="14" t="s">
        <v>290</v>
      </c>
      <c r="D65" s="17">
        <f>Demographic!D64</f>
        <v>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1:36" ht="18" customHeight="1">
      <c r="A66" s="12"/>
      <c r="B66" s="13">
        <v>40</v>
      </c>
      <c r="C66" s="14" t="s">
        <v>294</v>
      </c>
      <c r="D66" s="17">
        <f>Demographic!D65</f>
        <v>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 ht="18" customHeight="1">
      <c r="A67" s="12"/>
      <c r="B67" s="13">
        <v>41</v>
      </c>
      <c r="C67" s="14" t="s">
        <v>298</v>
      </c>
      <c r="D67" s="17">
        <f>Demographic!D66</f>
        <v>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1:36" ht="18" customHeight="1">
      <c r="A68" s="12"/>
      <c r="B68" s="13">
        <v>41.1</v>
      </c>
      <c r="C68" s="14" t="s">
        <v>299</v>
      </c>
      <c r="D68" s="17">
        <f>Demographic!D67</f>
        <v>61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1:36" ht="14.25" customHeight="1"/>
    <row r="70" spans="1:36" ht="14.25" customHeight="1"/>
    <row r="71" spans="1:36" ht="14.25" customHeight="1"/>
    <row r="72" spans="1:36" ht="14.25" customHeight="1"/>
    <row r="73" spans="1:36" ht="14.25" customHeight="1"/>
    <row r="74" spans="1:36" ht="14.25" customHeight="1"/>
    <row r="75" spans="1:36" ht="14.25" customHeight="1"/>
    <row r="76" spans="1:36" ht="14.25" customHeight="1"/>
    <row r="77" spans="1:36" ht="14.25" customHeight="1"/>
    <row r="78" spans="1:36" ht="14.25" customHeight="1"/>
    <row r="79" spans="1:36" ht="14.25" customHeight="1"/>
    <row r="80" spans="1:3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B1:P1"/>
    <mergeCell ref="B2:P2"/>
    <mergeCell ref="B6:B8"/>
    <mergeCell ref="C6:C8"/>
    <mergeCell ref="D6:D8"/>
    <mergeCell ref="E7:J7"/>
    <mergeCell ref="K7:P7"/>
    <mergeCell ref="E6:P6"/>
  </mergeCells>
  <dataValidations count="3">
    <dataValidation type="decimal" operator="greaterThanOrEqual" allowBlank="1" showErrorMessage="1" sqref="E10:P18" xr:uid="{8841F774-721F-4BAB-9AAD-2C760E0DB5AD}">
      <formula1>0</formula1>
    </dataValidation>
    <dataValidation type="decimal" operator="greaterThanOrEqual" allowBlank="1" showErrorMessage="1" sqref="E20:P22" xr:uid="{A1C6AA4B-768D-4A20-863E-B98B9DCC6ECA}">
      <formula1>0</formula1>
    </dataValidation>
    <dataValidation type="decimal" operator="greaterThanOrEqual" allowBlank="1" showErrorMessage="1" sqref="E24:P68" xr:uid="{1B670059-5439-4FD4-A9CF-9BF6EE2C703F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BD55C57-322E-427F-826F-0D23493918E4}">
          <x14:formula1>
            <xm:f>Validation!$A$3:$A$1024</xm:f>
          </x14:formula1>
          <xm:sqref>D4:E4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C306-B328-44C7-AB0E-90F2CDE67470}">
  <sheetPr>
    <outlinePr summaryBelow="0" summaryRight="0"/>
    <pageSetUpPr autoPageBreaks="0"/>
  </sheetPr>
  <dimension ref="B1:R202"/>
  <sheetViews>
    <sheetView zoomScaleSheetLayoutView="100" workbookViewId="0">
      <pane ySplit="7" topLeftCell="A176" activePane="bottomLeft" state="frozen"/>
      <selection pane="bottomLeft"/>
    </sheetView>
  </sheetViews>
  <sheetFormatPr defaultRowHeight="15" customHeight="1"/>
  <cols>
    <col min="1" max="1" width="9.125" customWidth="1"/>
    <col min="2" max="2" width="12.25" customWidth="1"/>
    <col min="3" max="3" width="49.375" customWidth="1"/>
    <col min="4" max="8" width="24.875" customWidth="1"/>
    <col min="9" max="9" width="10" hidden="1" customWidth="1"/>
    <col min="10" max="13" width="9.125" hidden="1" customWidth="1"/>
    <col min="14" max="14" width="9.125" customWidth="1"/>
    <col min="15" max="15" width="13.125" customWidth="1"/>
    <col min="16" max="16" width="19" customWidth="1"/>
    <col min="17" max="17" width="9.125" hidden="1" customWidth="1"/>
    <col min="18" max="18" width="9.125" customWidth="1"/>
    <col min="19" max="256" width="15" customWidth="1"/>
  </cols>
  <sheetData>
    <row r="1" spans="2:18" ht="14.25" customHeight="1">
      <c r="B1" s="39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3"/>
      <c r="Q1" s="3"/>
      <c r="R1" s="3"/>
    </row>
    <row r="2" spans="2:18" ht="14.25" customHeight="1">
      <c r="B2" s="39" t="s">
        <v>885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3"/>
      <c r="Q2" s="3" t="e">
        <f>Demographic!W2</f>
        <v>#N/A</v>
      </c>
      <c r="R2" s="3"/>
    </row>
    <row r="3" spans="2:18" ht="14.25" customHeight="1">
      <c r="M3" s="18"/>
    </row>
    <row r="4" spans="2:18" ht="14.25" customHeight="1">
      <c r="B4" s="5" t="s">
        <v>15</v>
      </c>
      <c r="C4" s="7" t="str">
        <f>Demographic!C4</f>
        <v>Kenya</v>
      </c>
      <c r="E4" s="16" t="s">
        <v>16</v>
      </c>
      <c r="F4" s="7" t="str">
        <f>Demographic!G4</f>
        <v>AFR</v>
      </c>
      <c r="N4" s="5" t="s">
        <v>17</v>
      </c>
      <c r="O4" s="7">
        <f>Demographic!Q4</f>
        <v>2023</v>
      </c>
    </row>
    <row r="5" spans="2:18" ht="14.25" customHeight="1"/>
    <row r="6" spans="2:18" ht="14.25" customHeight="1"/>
    <row r="7" spans="2:18" ht="14.25" customHeight="1">
      <c r="B7" s="19" t="s">
        <v>26</v>
      </c>
      <c r="C7" s="19" t="s">
        <v>886</v>
      </c>
      <c r="D7" s="10" t="s">
        <v>57</v>
      </c>
      <c r="E7" s="20" t="s">
        <v>887</v>
      </c>
      <c r="F7" s="20" t="s">
        <v>888</v>
      </c>
      <c r="G7" s="20" t="s">
        <v>137</v>
      </c>
      <c r="H7" s="20" t="s">
        <v>150</v>
      </c>
    </row>
    <row r="8" spans="2:18" ht="14.25" customHeight="1">
      <c r="B8" s="16">
        <v>1</v>
      </c>
      <c r="C8" s="16" t="s">
        <v>7</v>
      </c>
      <c r="D8" s="13"/>
      <c r="E8" s="13"/>
      <c r="F8" s="16"/>
      <c r="G8" s="16"/>
      <c r="H8" s="16"/>
    </row>
    <row r="9" spans="2:18" ht="14.25" customHeight="1">
      <c r="B9" s="16">
        <v>2</v>
      </c>
      <c r="C9" s="16" t="s">
        <v>11</v>
      </c>
      <c r="D9" s="13"/>
      <c r="E9" s="13"/>
      <c r="F9" s="16"/>
      <c r="G9" s="16"/>
      <c r="H9" s="16"/>
    </row>
    <row r="10" spans="2:18" ht="14.25" customHeight="1">
      <c r="B10" s="16">
        <v>3</v>
      </c>
      <c r="C10" s="16" t="s">
        <v>18</v>
      </c>
      <c r="D10" s="13"/>
      <c r="E10" s="13"/>
      <c r="F10" s="16"/>
      <c r="G10" s="16"/>
      <c r="H10" s="16"/>
    </row>
    <row r="11" spans="2:18" ht="14.25" customHeight="1">
      <c r="B11" s="16">
        <v>4</v>
      </c>
      <c r="C11" s="16" t="s">
        <v>35</v>
      </c>
      <c r="D11" s="13"/>
      <c r="E11" s="13"/>
      <c r="F11" s="16"/>
      <c r="G11" s="16"/>
      <c r="H11" s="16"/>
    </row>
    <row r="12" spans="2:18" ht="14.25" customHeight="1">
      <c r="B12" s="16">
        <v>5</v>
      </c>
      <c r="C12" s="16" t="s">
        <v>54</v>
      </c>
      <c r="D12" s="13"/>
      <c r="E12" s="13"/>
      <c r="F12" s="16"/>
      <c r="G12" s="16"/>
      <c r="H12" s="16"/>
    </row>
    <row r="13" spans="2:18" ht="14.25" customHeight="1">
      <c r="B13" s="16">
        <v>6</v>
      </c>
      <c r="C13" s="16" t="s">
        <v>63</v>
      </c>
      <c r="D13" s="13"/>
      <c r="E13" s="13"/>
      <c r="F13" s="16"/>
      <c r="G13" s="16"/>
      <c r="H13" s="16"/>
    </row>
    <row r="14" spans="2:18" ht="14.25" customHeight="1">
      <c r="B14" s="16">
        <v>7</v>
      </c>
      <c r="C14" s="16" t="s">
        <v>67</v>
      </c>
      <c r="D14" s="13"/>
      <c r="E14" s="13"/>
      <c r="F14" s="16"/>
      <c r="G14" s="16"/>
      <c r="H14" s="16"/>
    </row>
    <row r="15" spans="2:18" ht="14.25" customHeight="1">
      <c r="B15" s="16">
        <v>8</v>
      </c>
      <c r="C15" s="16" t="s">
        <v>72</v>
      </c>
      <c r="D15" s="13"/>
      <c r="E15" s="13"/>
      <c r="F15" s="16"/>
      <c r="G15" s="16"/>
      <c r="H15" s="16"/>
    </row>
    <row r="16" spans="2:18" ht="14.25" customHeight="1">
      <c r="B16" s="16">
        <v>9</v>
      </c>
      <c r="C16" s="16" t="s">
        <v>82</v>
      </c>
      <c r="D16" s="13"/>
      <c r="E16" s="13"/>
      <c r="F16" s="16"/>
      <c r="G16" s="16"/>
      <c r="H16" s="16"/>
    </row>
    <row r="17" spans="2:8" ht="14.25" customHeight="1">
      <c r="B17" s="16">
        <v>10</v>
      </c>
      <c r="C17" s="16" t="s">
        <v>87</v>
      </c>
      <c r="D17" s="13"/>
      <c r="E17" s="13"/>
      <c r="F17" s="16"/>
      <c r="G17" s="16"/>
      <c r="H17" s="16"/>
    </row>
    <row r="18" spans="2:8" ht="14.25" customHeight="1">
      <c r="B18" s="16">
        <v>11</v>
      </c>
      <c r="C18" s="16" t="s">
        <v>92</v>
      </c>
      <c r="D18" s="13"/>
      <c r="E18" s="13"/>
      <c r="F18" s="16"/>
      <c r="G18" s="16"/>
      <c r="H18" s="16"/>
    </row>
    <row r="19" spans="2:8" ht="14.25" customHeight="1">
      <c r="B19" s="16">
        <v>12</v>
      </c>
      <c r="C19" s="16" t="s">
        <v>97</v>
      </c>
      <c r="D19" s="13"/>
      <c r="E19" s="13"/>
      <c r="F19" s="16"/>
      <c r="G19" s="16"/>
      <c r="H19" s="16"/>
    </row>
    <row r="20" spans="2:8" ht="14.25" customHeight="1">
      <c r="B20" s="16">
        <v>13</v>
      </c>
      <c r="C20" s="16" t="s">
        <v>101</v>
      </c>
      <c r="D20" s="13"/>
      <c r="E20" s="13"/>
      <c r="F20" s="16"/>
      <c r="G20" s="16"/>
      <c r="H20" s="16"/>
    </row>
    <row r="21" spans="2:8" ht="14.25" customHeight="1">
      <c r="B21" s="16">
        <v>14</v>
      </c>
      <c r="C21" s="16" t="s">
        <v>105</v>
      </c>
      <c r="D21" s="13"/>
      <c r="E21" s="13"/>
      <c r="F21" s="16"/>
      <c r="G21" s="16"/>
      <c r="H21" s="16"/>
    </row>
    <row r="22" spans="2:8" ht="14.25" customHeight="1">
      <c r="B22" s="16">
        <v>15</v>
      </c>
      <c r="C22" s="16" t="s">
        <v>110</v>
      </c>
      <c r="D22" s="13"/>
      <c r="E22" s="13"/>
      <c r="F22" s="16"/>
      <c r="G22" s="16"/>
      <c r="H22" s="16"/>
    </row>
    <row r="23" spans="2:8" ht="14.25" customHeight="1">
      <c r="B23" s="16">
        <v>16</v>
      </c>
      <c r="C23" s="16" t="s">
        <v>889</v>
      </c>
      <c r="D23" s="13"/>
      <c r="E23" s="13"/>
      <c r="F23" s="16"/>
      <c r="G23" s="16"/>
      <c r="H23" s="16"/>
    </row>
    <row r="24" spans="2:8" ht="14.25" customHeight="1">
      <c r="B24" s="16">
        <v>17</v>
      </c>
      <c r="C24" s="16" t="s">
        <v>114</v>
      </c>
      <c r="D24" s="13"/>
      <c r="E24" s="13"/>
      <c r="F24" s="16"/>
      <c r="G24" s="16"/>
      <c r="H24" s="16"/>
    </row>
    <row r="25" spans="2:8" ht="14.25" customHeight="1">
      <c r="B25" s="16">
        <v>18</v>
      </c>
      <c r="C25" s="16" t="s">
        <v>890</v>
      </c>
      <c r="D25" s="13"/>
      <c r="E25" s="13"/>
      <c r="F25" s="16"/>
      <c r="G25" s="16"/>
      <c r="H25" s="16"/>
    </row>
    <row r="26" spans="2:8" ht="14.25" customHeight="1">
      <c r="B26" s="16">
        <v>19</v>
      </c>
      <c r="C26" s="16" t="s">
        <v>118</v>
      </c>
      <c r="D26" s="13"/>
      <c r="E26" s="13"/>
      <c r="F26" s="16"/>
      <c r="G26" s="16"/>
      <c r="H26" s="16"/>
    </row>
    <row r="27" spans="2:8" ht="14.25" customHeight="1">
      <c r="B27" s="16">
        <v>20</v>
      </c>
      <c r="C27" s="16" t="s">
        <v>126</v>
      </c>
      <c r="D27" s="13"/>
      <c r="E27" s="13"/>
      <c r="F27" s="16"/>
      <c r="G27" s="16"/>
      <c r="H27" s="16"/>
    </row>
    <row r="28" spans="2:8" ht="14.25" customHeight="1">
      <c r="B28" s="16">
        <v>21</v>
      </c>
      <c r="C28" s="16" t="s">
        <v>130</v>
      </c>
      <c r="D28" s="13"/>
      <c r="E28" s="13"/>
      <c r="F28" s="16"/>
      <c r="G28" s="16"/>
      <c r="H28" s="16"/>
    </row>
    <row r="29" spans="2:8" ht="14.25" customHeight="1">
      <c r="B29" s="16">
        <v>22</v>
      </c>
      <c r="C29" s="16" t="s">
        <v>138</v>
      </c>
      <c r="D29" s="13"/>
      <c r="E29" s="13"/>
      <c r="F29" s="16"/>
      <c r="G29" s="16"/>
      <c r="H29" s="16"/>
    </row>
    <row r="30" spans="2:8" ht="14.25" customHeight="1">
      <c r="B30" s="16">
        <v>23</v>
      </c>
      <c r="C30" s="16" t="s">
        <v>142</v>
      </c>
      <c r="D30" s="13"/>
      <c r="E30" s="13"/>
      <c r="F30" s="16"/>
      <c r="G30" s="16"/>
      <c r="H30" s="16"/>
    </row>
    <row r="31" spans="2:8" ht="14.25" customHeight="1">
      <c r="B31" s="16">
        <v>24</v>
      </c>
      <c r="C31" s="16" t="s">
        <v>151</v>
      </c>
      <c r="D31" s="13"/>
      <c r="E31" s="13"/>
      <c r="F31" s="16"/>
      <c r="G31" s="16"/>
      <c r="H31" s="16"/>
    </row>
    <row r="32" spans="2:8" ht="14.25" customHeight="1">
      <c r="B32" s="16">
        <v>25</v>
      </c>
      <c r="C32" s="16" t="s">
        <v>163</v>
      </c>
      <c r="D32" s="13"/>
      <c r="E32" s="13"/>
      <c r="F32" s="16"/>
      <c r="G32" s="16"/>
      <c r="H32" s="16"/>
    </row>
    <row r="33" spans="2:8" ht="14.25" customHeight="1">
      <c r="B33" s="16">
        <v>26</v>
      </c>
      <c r="C33" s="16" t="s">
        <v>167</v>
      </c>
      <c r="D33" s="13"/>
      <c r="E33" s="13"/>
      <c r="F33" s="16"/>
      <c r="G33" s="16"/>
      <c r="H33" s="16"/>
    </row>
    <row r="34" spans="2:8" ht="14.25" customHeight="1">
      <c r="B34" s="16">
        <v>27</v>
      </c>
      <c r="C34" s="16" t="s">
        <v>171</v>
      </c>
      <c r="D34" s="13"/>
      <c r="E34" s="13"/>
      <c r="F34" s="16"/>
      <c r="G34" s="16"/>
      <c r="H34" s="16"/>
    </row>
    <row r="35" spans="2:8" ht="14.25" customHeight="1">
      <c r="B35" s="16">
        <v>28</v>
      </c>
      <c r="C35" s="16" t="s">
        <v>175</v>
      </c>
      <c r="D35" s="13"/>
      <c r="E35" s="13"/>
      <c r="F35" s="16"/>
      <c r="G35" s="16"/>
      <c r="H35" s="16"/>
    </row>
    <row r="36" spans="2:8" ht="14.25" customHeight="1">
      <c r="B36" s="16">
        <v>29</v>
      </c>
      <c r="C36" s="16" t="s">
        <v>179</v>
      </c>
      <c r="D36" s="13"/>
      <c r="E36" s="13"/>
      <c r="F36" s="16"/>
      <c r="G36" s="16"/>
      <c r="H36" s="16"/>
    </row>
    <row r="37" spans="2:8" ht="14.25" customHeight="1">
      <c r="B37" s="16">
        <v>30</v>
      </c>
      <c r="C37" s="16" t="s">
        <v>183</v>
      </c>
      <c r="D37" s="13"/>
      <c r="E37" s="13"/>
      <c r="F37" s="16"/>
      <c r="G37" s="16"/>
      <c r="H37" s="16"/>
    </row>
    <row r="38" spans="2:8" ht="14.25" customHeight="1">
      <c r="B38" s="16">
        <v>31</v>
      </c>
      <c r="C38" s="16" t="s">
        <v>187</v>
      </c>
      <c r="D38" s="13"/>
      <c r="E38" s="13"/>
      <c r="F38" s="16"/>
      <c r="G38" s="16"/>
      <c r="H38" s="16"/>
    </row>
    <row r="39" spans="2:8" ht="14.25" customHeight="1">
      <c r="B39" s="16">
        <v>32</v>
      </c>
      <c r="C39" s="16" t="s">
        <v>191</v>
      </c>
      <c r="D39" s="13"/>
      <c r="E39" s="13"/>
      <c r="F39" s="16"/>
      <c r="G39" s="16"/>
      <c r="H39" s="16"/>
    </row>
    <row r="40" spans="2:8" ht="14.25" customHeight="1">
      <c r="B40" s="16">
        <v>33</v>
      </c>
      <c r="C40" s="16" t="s">
        <v>199</v>
      </c>
      <c r="D40" s="13"/>
      <c r="E40" s="13"/>
      <c r="F40" s="16"/>
      <c r="G40" s="16"/>
      <c r="H40" s="16"/>
    </row>
    <row r="41" spans="2:8" ht="14.25" customHeight="1">
      <c r="B41" s="16">
        <v>34</v>
      </c>
      <c r="C41" s="16" t="s">
        <v>203</v>
      </c>
      <c r="D41" s="13"/>
      <c r="E41" s="13"/>
      <c r="F41" s="16"/>
      <c r="G41" s="16"/>
      <c r="H41" s="16"/>
    </row>
    <row r="42" spans="2:8" ht="14.25" customHeight="1">
      <c r="B42" s="16">
        <v>35</v>
      </c>
      <c r="C42" s="16" t="s">
        <v>207</v>
      </c>
      <c r="D42" s="13"/>
      <c r="E42" s="13"/>
      <c r="F42" s="16"/>
      <c r="G42" s="16"/>
      <c r="H42" s="16"/>
    </row>
    <row r="43" spans="2:8" ht="14.25" customHeight="1">
      <c r="B43" s="16">
        <v>36</v>
      </c>
      <c r="C43" s="16" t="s">
        <v>211</v>
      </c>
      <c r="D43" s="13"/>
      <c r="E43" s="13"/>
      <c r="F43" s="16"/>
      <c r="G43" s="16"/>
      <c r="H43" s="16"/>
    </row>
    <row r="44" spans="2:8" ht="14.25" customHeight="1">
      <c r="B44" s="16">
        <v>37</v>
      </c>
      <c r="C44" s="16" t="s">
        <v>239</v>
      </c>
      <c r="D44" s="13"/>
      <c r="E44" s="13"/>
      <c r="F44" s="16"/>
      <c r="G44" s="16"/>
      <c r="H44" s="16"/>
    </row>
    <row r="45" spans="2:8" ht="14.25" customHeight="1">
      <c r="B45" s="16">
        <v>38</v>
      </c>
      <c r="C45" s="16" t="s">
        <v>243</v>
      </c>
      <c r="D45" s="13"/>
      <c r="E45" s="13"/>
      <c r="F45" s="16"/>
      <c r="G45" s="16"/>
      <c r="H45" s="16"/>
    </row>
    <row r="46" spans="2:8" ht="14.25" customHeight="1">
      <c r="B46" s="16">
        <v>39</v>
      </c>
      <c r="C46" s="16" t="s">
        <v>247</v>
      </c>
      <c r="D46" s="13"/>
      <c r="E46" s="13"/>
      <c r="F46" s="16"/>
      <c r="G46" s="16"/>
      <c r="H46" s="16"/>
    </row>
    <row r="47" spans="2:8" ht="14.25" customHeight="1">
      <c r="B47" s="16">
        <v>40</v>
      </c>
      <c r="C47" s="16" t="s">
        <v>251</v>
      </c>
      <c r="D47" s="13"/>
      <c r="E47" s="13"/>
      <c r="F47" s="16"/>
      <c r="G47" s="16"/>
      <c r="H47" s="16"/>
    </row>
    <row r="48" spans="2:8" ht="14.25" customHeight="1">
      <c r="B48" s="16">
        <v>41</v>
      </c>
      <c r="C48" s="16" t="s">
        <v>255</v>
      </c>
      <c r="D48" s="13"/>
      <c r="E48" s="13"/>
      <c r="F48" s="16"/>
      <c r="G48" s="16"/>
      <c r="H48" s="16"/>
    </row>
    <row r="49" spans="2:8" ht="14.25" customHeight="1">
      <c r="B49" s="16">
        <v>42</v>
      </c>
      <c r="C49" s="16" t="s">
        <v>259</v>
      </c>
      <c r="D49" s="13"/>
      <c r="E49" s="13"/>
      <c r="F49" s="16"/>
      <c r="G49" s="16"/>
      <c r="H49" s="16"/>
    </row>
    <row r="50" spans="2:8" ht="14.25" customHeight="1">
      <c r="B50" s="16">
        <v>43</v>
      </c>
      <c r="C50" s="16" t="s">
        <v>263</v>
      </c>
      <c r="D50" s="13"/>
      <c r="E50" s="13"/>
      <c r="F50" s="16"/>
      <c r="G50" s="16"/>
      <c r="H50" s="16"/>
    </row>
    <row r="51" spans="2:8" ht="14.25" customHeight="1">
      <c r="B51" s="16">
        <v>44</v>
      </c>
      <c r="C51" s="16" t="s">
        <v>271</v>
      </c>
      <c r="D51" s="13"/>
      <c r="E51" s="13"/>
      <c r="F51" s="16"/>
      <c r="G51" s="16"/>
      <c r="H51" s="16"/>
    </row>
    <row r="52" spans="2:8" ht="14.25" customHeight="1">
      <c r="B52" s="16">
        <v>45</v>
      </c>
      <c r="C52" s="16" t="s">
        <v>275</v>
      </c>
      <c r="D52" s="13"/>
      <c r="E52" s="13"/>
      <c r="F52" s="16"/>
      <c r="G52" s="16"/>
      <c r="H52" s="16"/>
    </row>
    <row r="53" spans="2:8" ht="14.25" customHeight="1">
      <c r="B53" s="16">
        <v>46</v>
      </c>
      <c r="C53" s="16" t="s">
        <v>283</v>
      </c>
      <c r="D53" s="13"/>
      <c r="E53" s="13"/>
      <c r="F53" s="16"/>
      <c r="G53" s="16"/>
      <c r="H53" s="16"/>
    </row>
    <row r="54" spans="2:8" ht="14.25" customHeight="1">
      <c r="B54" s="16">
        <v>47</v>
      </c>
      <c r="C54" s="16" t="s">
        <v>287</v>
      </c>
      <c r="D54" s="13"/>
      <c r="E54" s="13"/>
      <c r="F54" s="16"/>
      <c r="G54" s="16"/>
      <c r="H54" s="16"/>
    </row>
    <row r="55" spans="2:8" ht="14.25" customHeight="1">
      <c r="B55" s="16">
        <v>48</v>
      </c>
      <c r="C55" s="16" t="s">
        <v>291</v>
      </c>
      <c r="D55" s="13"/>
      <c r="E55" s="13"/>
      <c r="F55" s="16"/>
      <c r="G55" s="16"/>
      <c r="H55" s="16"/>
    </row>
    <row r="56" spans="2:8" ht="14.25" customHeight="1">
      <c r="B56" s="16">
        <v>49</v>
      </c>
      <c r="C56" s="16" t="s">
        <v>295</v>
      </c>
      <c r="D56" s="13"/>
      <c r="E56" s="13"/>
      <c r="F56" s="16"/>
      <c r="G56" s="16"/>
      <c r="H56" s="16"/>
    </row>
    <row r="57" spans="2:8" ht="14.25" customHeight="1">
      <c r="B57" s="16">
        <v>50</v>
      </c>
      <c r="C57" s="16" t="s">
        <v>891</v>
      </c>
      <c r="D57" s="13"/>
      <c r="E57" s="13"/>
      <c r="F57" s="16"/>
      <c r="G57" s="16"/>
      <c r="H57" s="16"/>
    </row>
    <row r="58" spans="2:8" ht="14.25" customHeight="1">
      <c r="B58" s="16">
        <v>51</v>
      </c>
      <c r="C58" s="16" t="s">
        <v>892</v>
      </c>
      <c r="D58" s="13"/>
      <c r="E58" s="13"/>
      <c r="F58" s="16"/>
      <c r="G58" s="16"/>
      <c r="H58" s="16"/>
    </row>
    <row r="59" spans="2:8" ht="14.25" customHeight="1">
      <c r="B59" s="16">
        <v>52</v>
      </c>
      <c r="C59" s="16" t="s">
        <v>893</v>
      </c>
      <c r="D59" s="13"/>
      <c r="E59" s="13"/>
      <c r="F59" s="16"/>
      <c r="G59" s="16"/>
      <c r="H59" s="16"/>
    </row>
    <row r="60" spans="2:8" ht="14.25" customHeight="1">
      <c r="B60" s="16">
        <v>53</v>
      </c>
      <c r="C60" s="16" t="s">
        <v>894</v>
      </c>
      <c r="D60" s="13"/>
      <c r="E60" s="13"/>
      <c r="F60" s="16"/>
      <c r="G60" s="16"/>
      <c r="H60" s="16"/>
    </row>
    <row r="61" spans="2:8" ht="14.25" customHeight="1">
      <c r="B61" s="16">
        <v>54</v>
      </c>
      <c r="C61" s="16" t="s">
        <v>895</v>
      </c>
      <c r="D61" s="13"/>
      <c r="E61" s="13"/>
      <c r="F61" s="16"/>
      <c r="G61" s="16"/>
      <c r="H61" s="16"/>
    </row>
    <row r="62" spans="2:8" ht="14.25" customHeight="1">
      <c r="B62" s="16">
        <v>55</v>
      </c>
      <c r="C62" s="16" t="s">
        <v>301</v>
      </c>
      <c r="D62" s="13"/>
      <c r="E62" s="13"/>
      <c r="F62" s="16"/>
      <c r="G62" s="16"/>
      <c r="H62" s="16"/>
    </row>
    <row r="63" spans="2:8" ht="14.25" customHeight="1">
      <c r="B63" s="16">
        <v>56</v>
      </c>
      <c r="C63" s="16" t="s">
        <v>304</v>
      </c>
      <c r="D63" s="13"/>
      <c r="E63" s="13"/>
      <c r="F63" s="16"/>
      <c r="G63" s="16"/>
      <c r="H63" s="16"/>
    </row>
    <row r="64" spans="2:8" ht="14.25" customHeight="1">
      <c r="B64" s="16">
        <v>57</v>
      </c>
      <c r="C64" s="16" t="s">
        <v>307</v>
      </c>
      <c r="D64" s="13"/>
      <c r="E64" s="13"/>
      <c r="F64" s="16"/>
      <c r="G64" s="16"/>
      <c r="H64" s="16"/>
    </row>
    <row r="65" spans="2:8" ht="14.25" customHeight="1">
      <c r="B65" s="16">
        <v>58</v>
      </c>
      <c r="C65" s="16" t="s">
        <v>310</v>
      </c>
      <c r="D65" s="13"/>
      <c r="E65" s="13"/>
      <c r="F65" s="16"/>
      <c r="G65" s="16"/>
      <c r="H65" s="16"/>
    </row>
    <row r="66" spans="2:8" ht="14.25" customHeight="1">
      <c r="B66" s="16">
        <v>59</v>
      </c>
      <c r="C66" s="16" t="s">
        <v>313</v>
      </c>
      <c r="D66" s="13"/>
      <c r="E66" s="13"/>
      <c r="F66" s="16"/>
      <c r="G66" s="16"/>
      <c r="H66" s="16"/>
    </row>
    <row r="67" spans="2:8" ht="14.25" customHeight="1">
      <c r="B67" s="16">
        <v>60</v>
      </c>
      <c r="C67" s="16" t="s">
        <v>316</v>
      </c>
      <c r="D67" s="13"/>
      <c r="E67" s="13"/>
      <c r="F67" s="16"/>
      <c r="G67" s="16"/>
      <c r="H67" s="16"/>
    </row>
    <row r="68" spans="2:8" ht="14.25" customHeight="1">
      <c r="B68" s="16">
        <v>61</v>
      </c>
      <c r="C68" s="16" t="s">
        <v>325</v>
      </c>
      <c r="D68" s="13"/>
      <c r="E68" s="13"/>
      <c r="F68" s="16"/>
      <c r="G68" s="16"/>
      <c r="H68" s="16"/>
    </row>
    <row r="69" spans="2:8" ht="14.25" customHeight="1">
      <c r="B69" s="16">
        <v>62</v>
      </c>
      <c r="C69" s="16" t="s">
        <v>328</v>
      </c>
      <c r="D69" s="13"/>
      <c r="E69" s="13"/>
      <c r="F69" s="16"/>
      <c r="G69" s="16"/>
      <c r="H69" s="16"/>
    </row>
    <row r="70" spans="2:8" ht="14.25" customHeight="1">
      <c r="B70" s="16">
        <v>63</v>
      </c>
      <c r="C70" s="16" t="s">
        <v>331</v>
      </c>
      <c r="D70" s="13"/>
      <c r="E70" s="13"/>
      <c r="F70" s="16"/>
      <c r="G70" s="16"/>
      <c r="H70" s="16"/>
    </row>
    <row r="71" spans="2:8" ht="14.25" customHeight="1">
      <c r="B71" s="16">
        <v>64</v>
      </c>
      <c r="C71" s="16" t="s">
        <v>343</v>
      </c>
      <c r="D71" s="13"/>
      <c r="E71" s="13"/>
      <c r="F71" s="16"/>
      <c r="G71" s="16"/>
      <c r="H71" s="16"/>
    </row>
    <row r="72" spans="2:8" ht="14.25" customHeight="1">
      <c r="B72" s="16">
        <v>65</v>
      </c>
      <c r="C72" s="16" t="s">
        <v>346</v>
      </c>
      <c r="D72" s="13"/>
      <c r="E72" s="13"/>
      <c r="F72" s="16"/>
      <c r="G72" s="16"/>
      <c r="H72" s="16"/>
    </row>
    <row r="73" spans="2:8" ht="14.25" customHeight="1">
      <c r="B73" s="16">
        <v>66</v>
      </c>
      <c r="C73" s="16" t="s">
        <v>349</v>
      </c>
      <c r="D73" s="13"/>
      <c r="E73" s="13"/>
      <c r="F73" s="16"/>
      <c r="G73" s="16"/>
      <c r="H73" s="16"/>
    </row>
    <row r="74" spans="2:8" ht="14.25" customHeight="1">
      <c r="B74" s="16">
        <v>67</v>
      </c>
      <c r="C74" s="16" t="s">
        <v>352</v>
      </c>
      <c r="D74" s="13"/>
      <c r="E74" s="13"/>
      <c r="F74" s="16"/>
      <c r="G74" s="16"/>
      <c r="H74" s="16"/>
    </row>
    <row r="75" spans="2:8" ht="14.25" customHeight="1">
      <c r="B75" s="16">
        <v>68</v>
      </c>
      <c r="C75" s="16" t="s">
        <v>364</v>
      </c>
      <c r="D75" s="13"/>
      <c r="E75" s="13"/>
      <c r="F75" s="16"/>
      <c r="G75" s="16"/>
      <c r="H75" s="16"/>
    </row>
    <row r="76" spans="2:8" ht="14.25" customHeight="1">
      <c r="B76" s="16">
        <v>69</v>
      </c>
      <c r="C76" s="16" t="s">
        <v>370</v>
      </c>
      <c r="D76" s="13"/>
      <c r="E76" s="13"/>
      <c r="F76" s="16"/>
      <c r="G76" s="16"/>
      <c r="H76" s="16"/>
    </row>
    <row r="77" spans="2:8" ht="14.25" customHeight="1">
      <c r="B77" s="16">
        <v>70</v>
      </c>
      <c r="C77" s="16" t="s">
        <v>376</v>
      </c>
      <c r="D77" s="13"/>
      <c r="E77" s="13"/>
      <c r="F77" s="16"/>
      <c r="G77" s="16"/>
      <c r="H77" s="16"/>
    </row>
    <row r="78" spans="2:8" ht="14.25" customHeight="1">
      <c r="B78" s="16">
        <v>71</v>
      </c>
      <c r="C78" s="16" t="s">
        <v>385</v>
      </c>
      <c r="D78" s="13"/>
      <c r="E78" s="13"/>
      <c r="F78" s="16"/>
      <c r="G78" s="16"/>
      <c r="H78" s="16"/>
    </row>
    <row r="79" spans="2:8" ht="14.25" customHeight="1">
      <c r="B79" s="16">
        <v>72</v>
      </c>
      <c r="C79" s="16" t="s">
        <v>391</v>
      </c>
      <c r="D79" s="13"/>
      <c r="E79" s="13"/>
      <c r="F79" s="16"/>
      <c r="G79" s="16"/>
      <c r="H79" s="16"/>
    </row>
    <row r="80" spans="2:8" ht="14.25" customHeight="1">
      <c r="B80" s="16">
        <v>73</v>
      </c>
      <c r="C80" s="16" t="s">
        <v>394</v>
      </c>
      <c r="D80" s="13"/>
      <c r="E80" s="13"/>
      <c r="F80" s="16"/>
      <c r="G80" s="16"/>
      <c r="H80" s="16"/>
    </row>
    <row r="81" spans="2:8" ht="14.25" customHeight="1">
      <c r="B81" s="16">
        <v>74</v>
      </c>
      <c r="C81" s="16" t="s">
        <v>397</v>
      </c>
      <c r="D81" s="13"/>
      <c r="E81" s="13"/>
      <c r="F81" s="16"/>
      <c r="G81" s="16"/>
      <c r="H81" s="16"/>
    </row>
    <row r="82" spans="2:8" ht="14.25" customHeight="1">
      <c r="B82" s="16">
        <v>75</v>
      </c>
      <c r="C82" s="16" t="s">
        <v>400</v>
      </c>
      <c r="D82" s="13"/>
      <c r="E82" s="13"/>
      <c r="F82" s="16"/>
      <c r="G82" s="16"/>
      <c r="H82" s="16"/>
    </row>
    <row r="83" spans="2:8" ht="14.25" customHeight="1">
      <c r="B83" s="16">
        <v>76</v>
      </c>
      <c r="C83" s="16" t="s">
        <v>409</v>
      </c>
      <c r="D83" s="13"/>
      <c r="E83" s="13"/>
      <c r="F83" s="16"/>
      <c r="G83" s="16"/>
      <c r="H83" s="16"/>
    </row>
    <row r="84" spans="2:8" ht="14.25" customHeight="1">
      <c r="B84" s="16">
        <v>77</v>
      </c>
      <c r="C84" s="16" t="s">
        <v>412</v>
      </c>
      <c r="D84" s="13"/>
      <c r="E84" s="13"/>
      <c r="F84" s="16"/>
      <c r="G84" s="16"/>
      <c r="H84" s="16"/>
    </row>
    <row r="85" spans="2:8" ht="14.25" customHeight="1">
      <c r="B85" s="16">
        <v>78</v>
      </c>
      <c r="C85" s="16" t="s">
        <v>415</v>
      </c>
      <c r="D85" s="13"/>
      <c r="E85" s="13"/>
      <c r="F85" s="16"/>
      <c r="G85" s="16"/>
      <c r="H85" s="16"/>
    </row>
    <row r="86" spans="2:8" ht="14.25" customHeight="1">
      <c r="B86" s="16">
        <v>79</v>
      </c>
      <c r="C86" s="16" t="s">
        <v>418</v>
      </c>
      <c r="D86" s="13"/>
      <c r="E86" s="13"/>
      <c r="F86" s="16"/>
      <c r="G86" s="16"/>
      <c r="H86" s="16"/>
    </row>
    <row r="87" spans="2:8" ht="14.25" customHeight="1">
      <c r="B87" s="16">
        <v>80</v>
      </c>
      <c r="C87" s="16" t="s">
        <v>421</v>
      </c>
      <c r="D87" s="13"/>
      <c r="E87" s="13"/>
      <c r="F87" s="16"/>
      <c r="G87" s="16"/>
      <c r="H87" s="16"/>
    </row>
    <row r="88" spans="2:8" ht="14.25" customHeight="1">
      <c r="B88" s="16">
        <v>81</v>
      </c>
      <c r="C88" s="16" t="s">
        <v>424</v>
      </c>
      <c r="D88" s="13"/>
      <c r="E88" s="13"/>
      <c r="F88" s="16"/>
      <c r="G88" s="16"/>
      <c r="H88" s="16"/>
    </row>
    <row r="89" spans="2:8" ht="14.25" customHeight="1">
      <c r="B89" s="16">
        <v>82</v>
      </c>
      <c r="C89" s="16" t="s">
        <v>427</v>
      </c>
      <c r="D89" s="13"/>
      <c r="E89" s="13"/>
      <c r="F89" s="16"/>
      <c r="G89" s="16"/>
      <c r="H89" s="16"/>
    </row>
    <row r="90" spans="2:8" ht="14.25" customHeight="1">
      <c r="B90" s="16">
        <v>83</v>
      </c>
      <c r="C90" s="16" t="s">
        <v>430</v>
      </c>
      <c r="D90" s="13"/>
      <c r="E90" s="13"/>
      <c r="F90" s="16"/>
      <c r="G90" s="16"/>
      <c r="H90" s="16"/>
    </row>
    <row r="91" spans="2:8" ht="14.25" customHeight="1">
      <c r="B91" s="16">
        <v>84</v>
      </c>
      <c r="C91" s="16" t="s">
        <v>436</v>
      </c>
      <c r="D91" s="13"/>
      <c r="E91" s="13"/>
      <c r="F91" s="16"/>
      <c r="G91" s="16"/>
      <c r="H91" s="16"/>
    </row>
    <row r="92" spans="2:8" ht="14.25" customHeight="1">
      <c r="B92" s="16">
        <v>85</v>
      </c>
      <c r="C92" s="16" t="s">
        <v>439</v>
      </c>
      <c r="D92" s="13"/>
      <c r="E92" s="13"/>
      <c r="F92" s="16"/>
      <c r="G92" s="16"/>
      <c r="H92" s="16"/>
    </row>
    <row r="93" spans="2:8" ht="14.25" customHeight="1">
      <c r="B93" s="16">
        <v>86</v>
      </c>
      <c r="C93" s="16" t="s">
        <v>442</v>
      </c>
      <c r="D93" s="13"/>
      <c r="E93" s="13"/>
      <c r="F93" s="16"/>
      <c r="G93" s="16"/>
      <c r="H93" s="16"/>
    </row>
    <row r="94" spans="2:8" ht="14.25" customHeight="1">
      <c r="B94" s="16">
        <v>87</v>
      </c>
      <c r="C94" s="16" t="s">
        <v>445</v>
      </c>
      <c r="D94" s="13"/>
      <c r="E94" s="13"/>
      <c r="F94" s="16"/>
      <c r="G94" s="16"/>
      <c r="H94" s="16"/>
    </row>
    <row r="95" spans="2:8" ht="14.25" customHeight="1">
      <c r="B95" s="16">
        <v>88</v>
      </c>
      <c r="C95" s="16" t="s">
        <v>451</v>
      </c>
      <c r="D95" s="13"/>
      <c r="E95" s="13"/>
      <c r="F95" s="16"/>
      <c r="G95" s="16"/>
      <c r="H95" s="16"/>
    </row>
    <row r="96" spans="2:8" ht="14.25" customHeight="1">
      <c r="B96" s="16">
        <v>89</v>
      </c>
      <c r="C96" s="16" t="s">
        <v>454</v>
      </c>
      <c r="D96" s="13"/>
      <c r="E96" s="13"/>
      <c r="F96" s="16"/>
      <c r="G96" s="16"/>
      <c r="H96" s="16"/>
    </row>
    <row r="97" spans="2:8" ht="14.25" customHeight="1">
      <c r="B97" s="16">
        <v>90</v>
      </c>
      <c r="C97" s="16" t="s">
        <v>457</v>
      </c>
      <c r="D97" s="13"/>
      <c r="E97" s="13"/>
      <c r="F97" s="16"/>
      <c r="G97" s="16"/>
      <c r="H97" s="16"/>
    </row>
    <row r="98" spans="2:8" ht="14.25" customHeight="1">
      <c r="B98" s="16">
        <v>91</v>
      </c>
      <c r="C98" s="16" t="s">
        <v>460</v>
      </c>
      <c r="D98" s="13"/>
      <c r="E98" s="13"/>
      <c r="F98" s="16"/>
      <c r="G98" s="16"/>
      <c r="H98" s="16"/>
    </row>
    <row r="99" spans="2:8" ht="14.25" customHeight="1">
      <c r="B99" s="16">
        <v>92</v>
      </c>
      <c r="C99" s="16" t="s">
        <v>463</v>
      </c>
      <c r="D99" s="13"/>
      <c r="E99" s="13"/>
      <c r="F99" s="16"/>
      <c r="G99" s="16"/>
      <c r="H99" s="16"/>
    </row>
    <row r="100" spans="2:8" ht="14.25" customHeight="1">
      <c r="B100" s="16">
        <v>93</v>
      </c>
      <c r="C100" s="16" t="s">
        <v>466</v>
      </c>
      <c r="D100" s="13"/>
      <c r="E100" s="13"/>
      <c r="F100" s="16"/>
      <c r="G100" s="16"/>
      <c r="H100" s="16"/>
    </row>
    <row r="101" spans="2:8" ht="14.25" customHeight="1">
      <c r="B101" s="16">
        <v>94</v>
      </c>
      <c r="C101" s="16" t="s">
        <v>469</v>
      </c>
      <c r="D101" s="13"/>
      <c r="E101" s="13"/>
      <c r="F101" s="16"/>
      <c r="G101" s="16"/>
      <c r="H101" s="16"/>
    </row>
    <row r="102" spans="2:8" ht="14.25" customHeight="1">
      <c r="B102" s="16">
        <v>95</v>
      </c>
      <c r="C102" s="16" t="s">
        <v>472</v>
      </c>
      <c r="D102" s="13"/>
      <c r="E102" s="13"/>
      <c r="F102" s="16"/>
      <c r="G102" s="16"/>
      <c r="H102" s="16"/>
    </row>
    <row r="103" spans="2:8" ht="14.25" customHeight="1">
      <c r="B103" s="16">
        <v>96</v>
      </c>
      <c r="C103" s="16" t="s">
        <v>475</v>
      </c>
      <c r="D103" s="13"/>
      <c r="E103" s="13"/>
      <c r="F103" s="16"/>
      <c r="G103" s="16"/>
      <c r="H103" s="16"/>
    </row>
    <row r="104" spans="2:8" ht="14.25" customHeight="1">
      <c r="B104" s="16">
        <v>97</v>
      </c>
      <c r="C104" s="16" t="s">
        <v>478</v>
      </c>
      <c r="D104" s="13"/>
      <c r="E104" s="13"/>
      <c r="F104" s="16"/>
      <c r="G104" s="16"/>
      <c r="H104" s="16"/>
    </row>
    <row r="105" spans="2:8" ht="14.25" customHeight="1">
      <c r="B105" s="16">
        <v>98</v>
      </c>
      <c r="C105" s="16" t="s">
        <v>481</v>
      </c>
      <c r="D105" s="13"/>
      <c r="E105" s="13"/>
      <c r="F105" s="16"/>
      <c r="G105" s="16"/>
      <c r="H105" s="16"/>
    </row>
    <row r="106" spans="2:8" ht="14.25" customHeight="1">
      <c r="B106" s="16">
        <v>99</v>
      </c>
      <c r="C106" s="16" t="s">
        <v>484</v>
      </c>
      <c r="D106" s="13"/>
      <c r="E106" s="13"/>
      <c r="F106" s="16"/>
      <c r="G106" s="16"/>
      <c r="H106" s="16"/>
    </row>
    <row r="107" spans="2:8" ht="14.25" customHeight="1">
      <c r="B107" s="16">
        <v>100</v>
      </c>
      <c r="C107" s="16" t="s">
        <v>490</v>
      </c>
      <c r="D107" s="13"/>
      <c r="E107" s="13"/>
      <c r="F107" s="16"/>
      <c r="G107" s="16"/>
      <c r="H107" s="16"/>
    </row>
    <row r="108" spans="2:8" ht="14.25" customHeight="1">
      <c r="B108" s="16">
        <v>101</v>
      </c>
      <c r="C108" s="16" t="s">
        <v>493</v>
      </c>
      <c r="D108" s="13"/>
      <c r="E108" s="13"/>
      <c r="F108" s="16"/>
      <c r="G108" s="16"/>
      <c r="H108" s="16"/>
    </row>
    <row r="109" spans="2:8" ht="14.25" customHeight="1">
      <c r="B109" s="16">
        <v>102</v>
      </c>
      <c r="C109" s="16" t="s">
        <v>496</v>
      </c>
      <c r="D109" s="13"/>
      <c r="E109" s="13"/>
      <c r="F109" s="16"/>
      <c r="G109" s="16"/>
      <c r="H109" s="16"/>
    </row>
    <row r="110" spans="2:8" ht="14.25" customHeight="1">
      <c r="B110" s="16">
        <v>103</v>
      </c>
      <c r="C110" s="16" t="s">
        <v>499</v>
      </c>
      <c r="D110" s="13"/>
      <c r="E110" s="13"/>
      <c r="F110" s="16"/>
      <c r="G110" s="16"/>
      <c r="H110" s="16"/>
    </row>
    <row r="111" spans="2:8" ht="14.25" customHeight="1">
      <c r="B111" s="16">
        <v>104</v>
      </c>
      <c r="C111" s="16" t="s">
        <v>502</v>
      </c>
      <c r="D111" s="13"/>
      <c r="E111" s="13"/>
      <c r="F111" s="16"/>
      <c r="G111" s="16"/>
      <c r="H111" s="16"/>
    </row>
    <row r="112" spans="2:8" ht="14.25" customHeight="1">
      <c r="B112" s="16">
        <v>105</v>
      </c>
      <c r="C112" s="16" t="s">
        <v>505</v>
      </c>
      <c r="D112" s="13"/>
      <c r="E112" s="13"/>
      <c r="F112" s="16"/>
      <c r="G112" s="16"/>
      <c r="H112" s="16"/>
    </row>
    <row r="113" spans="2:8" ht="14.25" customHeight="1">
      <c r="B113" s="16">
        <v>106</v>
      </c>
      <c r="C113" s="16" t="s">
        <v>508</v>
      </c>
      <c r="D113" s="13"/>
      <c r="E113" s="13"/>
      <c r="F113" s="16"/>
      <c r="G113" s="16"/>
      <c r="H113" s="16"/>
    </row>
    <row r="114" spans="2:8" ht="14.25" customHeight="1">
      <c r="B114" s="16">
        <v>107</v>
      </c>
      <c r="C114" s="16" t="s">
        <v>511</v>
      </c>
      <c r="D114" s="13"/>
      <c r="E114" s="13"/>
      <c r="F114" s="16"/>
      <c r="G114" s="16"/>
      <c r="H114" s="16"/>
    </row>
    <row r="115" spans="2:8" ht="14.25" customHeight="1">
      <c r="B115" s="16">
        <v>108</v>
      </c>
      <c r="C115" s="16" t="s">
        <v>514</v>
      </c>
      <c r="D115" s="13"/>
      <c r="E115" s="13"/>
      <c r="F115" s="16"/>
      <c r="G115" s="16"/>
      <c r="H115" s="16"/>
    </row>
    <row r="116" spans="2:8" ht="14.25" customHeight="1">
      <c r="B116" s="16">
        <v>109</v>
      </c>
      <c r="C116" s="16" t="s">
        <v>520</v>
      </c>
      <c r="D116" s="13"/>
      <c r="E116" s="13"/>
      <c r="F116" s="16"/>
      <c r="G116" s="16"/>
      <c r="H116" s="16"/>
    </row>
    <row r="117" spans="2:8" ht="14.25" customHeight="1">
      <c r="B117" s="16">
        <v>110</v>
      </c>
      <c r="C117" s="16" t="s">
        <v>523</v>
      </c>
      <c r="D117" s="13"/>
      <c r="E117" s="13"/>
      <c r="F117" s="16"/>
      <c r="G117" s="16"/>
      <c r="H117" s="16"/>
    </row>
    <row r="118" spans="2:8" ht="14.25" customHeight="1">
      <c r="B118" s="16">
        <v>111</v>
      </c>
      <c r="C118" s="16" t="s">
        <v>529</v>
      </c>
      <c r="D118" s="13"/>
      <c r="E118" s="13"/>
      <c r="F118" s="16"/>
      <c r="G118" s="16"/>
      <c r="H118" s="16"/>
    </row>
    <row r="119" spans="2:8" ht="14.25" customHeight="1">
      <c r="B119" s="16">
        <v>112</v>
      </c>
      <c r="C119" s="16" t="s">
        <v>532</v>
      </c>
      <c r="D119" s="13"/>
      <c r="E119" s="13"/>
      <c r="F119" s="16"/>
      <c r="G119" s="16"/>
      <c r="H119" s="16"/>
    </row>
    <row r="120" spans="2:8" ht="14.25" customHeight="1">
      <c r="B120" s="16">
        <v>113</v>
      </c>
      <c r="C120" s="16" t="s">
        <v>535</v>
      </c>
      <c r="D120" s="13"/>
      <c r="E120" s="13"/>
      <c r="F120" s="16"/>
      <c r="G120" s="16"/>
      <c r="H120" s="16"/>
    </row>
    <row r="121" spans="2:8" ht="14.25" customHeight="1">
      <c r="B121" s="16">
        <v>114</v>
      </c>
      <c r="C121" s="16" t="s">
        <v>538</v>
      </c>
      <c r="D121" s="13"/>
      <c r="E121" s="13"/>
      <c r="F121" s="16"/>
      <c r="G121" s="16"/>
      <c r="H121" s="16"/>
    </row>
    <row r="122" spans="2:8" ht="14.25" customHeight="1">
      <c r="B122" s="16">
        <v>115</v>
      </c>
      <c r="C122" s="16" t="s">
        <v>541</v>
      </c>
      <c r="D122" s="13"/>
      <c r="E122" s="13"/>
      <c r="F122" s="16"/>
      <c r="G122" s="16"/>
      <c r="H122" s="16"/>
    </row>
    <row r="123" spans="2:8" ht="14.25" customHeight="1">
      <c r="B123" s="16">
        <v>116</v>
      </c>
      <c r="C123" s="16" t="s">
        <v>547</v>
      </c>
      <c r="D123" s="13"/>
      <c r="E123" s="13"/>
      <c r="F123" s="16"/>
      <c r="G123" s="16"/>
      <c r="H123" s="16"/>
    </row>
    <row r="124" spans="2:8" ht="14.25" customHeight="1">
      <c r="B124" s="16">
        <v>117</v>
      </c>
      <c r="C124" s="16" t="s">
        <v>550</v>
      </c>
      <c r="D124" s="13"/>
      <c r="E124" s="13"/>
      <c r="F124" s="16"/>
      <c r="G124" s="16"/>
      <c r="H124" s="16"/>
    </row>
    <row r="125" spans="2:8" ht="14.25" customHeight="1">
      <c r="B125" s="16">
        <v>118</v>
      </c>
      <c r="C125" s="16" t="s">
        <v>553</v>
      </c>
      <c r="D125" s="13"/>
      <c r="E125" s="13"/>
      <c r="F125" s="16"/>
      <c r="G125" s="16"/>
      <c r="H125" s="16"/>
    </row>
    <row r="126" spans="2:8" ht="14.25" customHeight="1">
      <c r="B126" s="16">
        <v>119</v>
      </c>
      <c r="C126" s="16" t="s">
        <v>556</v>
      </c>
      <c r="D126" s="13"/>
      <c r="E126" s="13"/>
      <c r="F126" s="16"/>
      <c r="G126" s="16"/>
      <c r="H126" s="16"/>
    </row>
    <row r="127" spans="2:8" ht="14.25" customHeight="1">
      <c r="B127" s="16">
        <v>120</v>
      </c>
      <c r="C127" s="16" t="s">
        <v>559</v>
      </c>
      <c r="D127" s="13"/>
      <c r="E127" s="13"/>
      <c r="F127" s="16"/>
      <c r="G127" s="16"/>
      <c r="H127" s="16"/>
    </row>
    <row r="128" spans="2:8" ht="14.25" customHeight="1">
      <c r="B128" s="16">
        <v>121</v>
      </c>
      <c r="C128" s="16" t="s">
        <v>562</v>
      </c>
      <c r="D128" s="13"/>
      <c r="E128" s="13"/>
      <c r="F128" s="16"/>
      <c r="G128" s="16"/>
      <c r="H128" s="16"/>
    </row>
    <row r="129" spans="2:8" ht="14.25" customHeight="1">
      <c r="B129" s="16">
        <v>122</v>
      </c>
      <c r="C129" s="16" t="s">
        <v>565</v>
      </c>
      <c r="D129" s="13"/>
      <c r="E129" s="13"/>
      <c r="F129" s="16"/>
      <c r="G129" s="16"/>
      <c r="H129" s="16"/>
    </row>
    <row r="130" spans="2:8" ht="14.25" customHeight="1">
      <c r="B130" s="16">
        <v>123</v>
      </c>
      <c r="C130" s="16" t="s">
        <v>574</v>
      </c>
      <c r="D130" s="13"/>
      <c r="E130" s="13"/>
      <c r="F130" s="16"/>
      <c r="G130" s="16"/>
      <c r="H130" s="16"/>
    </row>
    <row r="131" spans="2:8" ht="14.25" customHeight="1">
      <c r="B131" s="16">
        <v>124</v>
      </c>
      <c r="C131" s="16" t="s">
        <v>577</v>
      </c>
      <c r="D131" s="13"/>
      <c r="E131" s="13"/>
      <c r="F131" s="16"/>
      <c r="G131" s="16"/>
      <c r="H131" s="16"/>
    </row>
    <row r="132" spans="2:8" ht="14.25" customHeight="1">
      <c r="B132" s="16">
        <v>125</v>
      </c>
      <c r="C132" s="16" t="s">
        <v>580</v>
      </c>
      <c r="D132" s="13"/>
      <c r="E132" s="13"/>
      <c r="F132" s="16"/>
      <c r="G132" s="16"/>
      <c r="H132" s="16"/>
    </row>
    <row r="133" spans="2:8" ht="14.25" customHeight="1">
      <c r="B133" s="16">
        <v>126</v>
      </c>
      <c r="C133" s="16" t="s">
        <v>583</v>
      </c>
      <c r="D133" s="13"/>
      <c r="E133" s="13"/>
      <c r="F133" s="16"/>
      <c r="G133" s="16"/>
      <c r="H133" s="16"/>
    </row>
    <row r="134" spans="2:8" ht="14.25" customHeight="1">
      <c r="B134" s="16">
        <v>127</v>
      </c>
      <c r="C134" s="16" t="s">
        <v>586</v>
      </c>
      <c r="D134" s="13"/>
      <c r="E134" s="13"/>
      <c r="F134" s="16"/>
      <c r="G134" s="16"/>
      <c r="H134" s="16"/>
    </row>
    <row r="135" spans="2:8" ht="14.25" customHeight="1">
      <c r="B135" s="16">
        <v>128</v>
      </c>
      <c r="C135" s="16" t="s">
        <v>592</v>
      </c>
      <c r="D135" s="13"/>
      <c r="E135" s="13"/>
      <c r="F135" s="16"/>
      <c r="G135" s="16"/>
      <c r="H135" s="16"/>
    </row>
    <row r="136" spans="2:8" ht="14.25" customHeight="1">
      <c r="B136" s="16">
        <v>129</v>
      </c>
      <c r="C136" s="16" t="s">
        <v>598</v>
      </c>
      <c r="D136" s="13"/>
      <c r="E136" s="13"/>
      <c r="F136" s="16"/>
      <c r="G136" s="16"/>
      <c r="H136" s="16"/>
    </row>
    <row r="137" spans="2:8" ht="14.25" customHeight="1">
      <c r="B137" s="16">
        <v>130</v>
      </c>
      <c r="C137" s="16" t="s">
        <v>601</v>
      </c>
      <c r="D137" s="13"/>
      <c r="E137" s="13"/>
      <c r="F137" s="16"/>
      <c r="G137" s="16"/>
      <c r="H137" s="16"/>
    </row>
    <row r="138" spans="2:8" ht="14.25" customHeight="1">
      <c r="B138" s="16">
        <v>131</v>
      </c>
      <c r="C138" s="16" t="s">
        <v>604</v>
      </c>
      <c r="D138" s="13"/>
      <c r="E138" s="13"/>
      <c r="F138" s="16"/>
      <c r="G138" s="16"/>
      <c r="H138" s="16"/>
    </row>
    <row r="139" spans="2:8" ht="14.25" customHeight="1">
      <c r="B139" s="16">
        <v>132</v>
      </c>
      <c r="C139" s="16" t="s">
        <v>607</v>
      </c>
      <c r="D139" s="13"/>
      <c r="E139" s="13"/>
      <c r="F139" s="16"/>
      <c r="G139" s="16"/>
      <c r="H139" s="16"/>
    </row>
    <row r="140" spans="2:8" ht="14.25" customHeight="1">
      <c r="B140" s="16">
        <v>133</v>
      </c>
      <c r="C140" s="16" t="s">
        <v>610</v>
      </c>
      <c r="D140" s="13"/>
      <c r="E140" s="13"/>
      <c r="F140" s="16"/>
      <c r="G140" s="16"/>
      <c r="H140" s="16"/>
    </row>
    <row r="141" spans="2:8" ht="14.25" customHeight="1">
      <c r="B141" s="16">
        <v>134</v>
      </c>
      <c r="C141" s="16" t="s">
        <v>613</v>
      </c>
      <c r="D141" s="13"/>
      <c r="E141" s="13"/>
      <c r="F141" s="16"/>
      <c r="G141" s="16"/>
      <c r="H141" s="16"/>
    </row>
    <row r="142" spans="2:8" ht="14.25" customHeight="1">
      <c r="B142" s="16">
        <v>135</v>
      </c>
      <c r="C142" s="16" t="s">
        <v>616</v>
      </c>
      <c r="D142" s="13"/>
      <c r="E142" s="13"/>
      <c r="F142" s="16"/>
      <c r="G142" s="16"/>
      <c r="H142" s="16"/>
    </row>
    <row r="143" spans="2:8" ht="14.25" customHeight="1">
      <c r="B143" s="16">
        <v>136</v>
      </c>
      <c r="C143" s="16" t="s">
        <v>619</v>
      </c>
      <c r="D143" s="13"/>
      <c r="E143" s="13"/>
      <c r="F143" s="16"/>
      <c r="G143" s="16"/>
      <c r="H143" s="16"/>
    </row>
    <row r="144" spans="2:8" ht="14.25" customHeight="1">
      <c r="B144" s="16">
        <v>137</v>
      </c>
      <c r="C144" s="16" t="s">
        <v>622</v>
      </c>
      <c r="D144" s="13"/>
      <c r="E144" s="13"/>
      <c r="F144" s="16"/>
      <c r="G144" s="16"/>
      <c r="H144" s="16"/>
    </row>
    <row r="145" spans="2:8" ht="14.25" customHeight="1">
      <c r="B145" s="16">
        <v>138</v>
      </c>
      <c r="C145" s="16" t="s">
        <v>628</v>
      </c>
      <c r="D145" s="13"/>
      <c r="E145" s="13"/>
      <c r="F145" s="16"/>
      <c r="G145" s="16"/>
      <c r="H145" s="16"/>
    </row>
    <row r="146" spans="2:8" ht="14.25" customHeight="1">
      <c r="B146" s="16">
        <v>139</v>
      </c>
      <c r="C146" s="16" t="s">
        <v>631</v>
      </c>
      <c r="D146" s="13"/>
      <c r="E146" s="13"/>
      <c r="F146" s="16"/>
      <c r="G146" s="16"/>
      <c r="H146" s="16"/>
    </row>
    <row r="147" spans="2:8" ht="14.25" customHeight="1">
      <c r="B147" s="16">
        <v>140</v>
      </c>
      <c r="C147" s="16" t="s">
        <v>637</v>
      </c>
      <c r="D147" s="13"/>
      <c r="E147" s="13"/>
      <c r="F147" s="16"/>
      <c r="G147" s="16"/>
      <c r="H147" s="16"/>
    </row>
    <row r="148" spans="2:8" ht="14.25" customHeight="1">
      <c r="B148" s="16">
        <v>141</v>
      </c>
      <c r="C148" s="16" t="s">
        <v>640</v>
      </c>
      <c r="D148" s="13"/>
      <c r="E148" s="13"/>
      <c r="F148" s="16"/>
      <c r="G148" s="16"/>
      <c r="H148" s="16"/>
    </row>
    <row r="149" spans="2:8" ht="14.25" customHeight="1">
      <c r="B149" s="16">
        <v>142</v>
      </c>
      <c r="C149" s="16" t="s">
        <v>643</v>
      </c>
      <c r="D149" s="13"/>
      <c r="E149" s="13"/>
      <c r="F149" s="16"/>
      <c r="G149" s="16"/>
      <c r="H149" s="16"/>
    </row>
    <row r="150" spans="2:8" ht="14.25" customHeight="1">
      <c r="B150" s="16">
        <v>143</v>
      </c>
      <c r="C150" s="16" t="s">
        <v>649</v>
      </c>
      <c r="D150" s="13"/>
      <c r="E150" s="13"/>
      <c r="F150" s="16"/>
      <c r="G150" s="16"/>
      <c r="H150" s="16"/>
    </row>
    <row r="151" spans="2:8" ht="14.25" customHeight="1">
      <c r="B151" s="16">
        <v>144</v>
      </c>
      <c r="C151" s="16" t="s">
        <v>652</v>
      </c>
      <c r="D151" s="13"/>
      <c r="E151" s="13"/>
      <c r="F151" s="16"/>
      <c r="G151" s="16"/>
      <c r="H151" s="16"/>
    </row>
    <row r="152" spans="2:8" ht="14.25" customHeight="1">
      <c r="B152" s="16">
        <v>145</v>
      </c>
      <c r="C152" s="16" t="s">
        <v>655</v>
      </c>
      <c r="D152" s="13"/>
      <c r="E152" s="13"/>
      <c r="F152" s="16"/>
      <c r="G152" s="16"/>
      <c r="H152" s="16"/>
    </row>
    <row r="153" spans="2:8" ht="14.25" customHeight="1">
      <c r="B153" s="16">
        <v>146</v>
      </c>
      <c r="C153" s="16" t="s">
        <v>670</v>
      </c>
      <c r="D153" s="13"/>
      <c r="E153" s="13"/>
      <c r="F153" s="16"/>
      <c r="G153" s="16"/>
      <c r="H153" s="16"/>
    </row>
    <row r="154" spans="2:8" ht="14.25" customHeight="1">
      <c r="B154" s="16">
        <v>147</v>
      </c>
      <c r="C154" s="16" t="s">
        <v>673</v>
      </c>
      <c r="D154" s="13"/>
      <c r="E154" s="13"/>
      <c r="F154" s="16"/>
      <c r="G154" s="16"/>
      <c r="H154" s="16"/>
    </row>
    <row r="155" spans="2:8" ht="14.25" customHeight="1">
      <c r="B155" s="16">
        <v>148</v>
      </c>
      <c r="C155" s="16" t="s">
        <v>682</v>
      </c>
      <c r="D155" s="13"/>
      <c r="E155" s="13"/>
      <c r="F155" s="16"/>
      <c r="G155" s="16"/>
      <c r="H155" s="16"/>
    </row>
    <row r="156" spans="2:8" ht="14.25" customHeight="1">
      <c r="B156" s="16">
        <v>149</v>
      </c>
      <c r="C156" s="16" t="s">
        <v>685</v>
      </c>
      <c r="D156" s="13"/>
      <c r="E156" s="13"/>
      <c r="F156" s="16"/>
      <c r="G156" s="16"/>
      <c r="H156" s="16"/>
    </row>
    <row r="157" spans="2:8" ht="14.25" customHeight="1">
      <c r="B157" s="16">
        <v>150</v>
      </c>
      <c r="C157" s="16" t="s">
        <v>688</v>
      </c>
      <c r="D157" s="13"/>
      <c r="E157" s="13"/>
      <c r="F157" s="16"/>
      <c r="G157" s="16"/>
      <c r="H157" s="16"/>
    </row>
    <row r="158" spans="2:8" ht="14.25" customHeight="1">
      <c r="B158" s="16">
        <v>151</v>
      </c>
      <c r="C158" s="16" t="s">
        <v>691</v>
      </c>
      <c r="D158" s="13"/>
      <c r="E158" s="13"/>
      <c r="F158" s="16"/>
      <c r="G158" s="16"/>
      <c r="H158" s="16"/>
    </row>
    <row r="159" spans="2:8" ht="14.25" customHeight="1">
      <c r="B159" s="16">
        <v>152</v>
      </c>
      <c r="C159" s="16" t="s">
        <v>694</v>
      </c>
      <c r="D159" s="13"/>
      <c r="E159" s="13"/>
      <c r="F159" s="16"/>
      <c r="G159" s="16"/>
      <c r="H159" s="16"/>
    </row>
    <row r="160" spans="2:8" ht="14.25" customHeight="1">
      <c r="B160" s="16">
        <v>153</v>
      </c>
      <c r="C160" s="16" t="s">
        <v>697</v>
      </c>
      <c r="D160" s="13"/>
      <c r="E160" s="13"/>
      <c r="F160" s="16"/>
      <c r="G160" s="16"/>
      <c r="H160" s="16"/>
    </row>
    <row r="161" spans="2:8" ht="14.25" customHeight="1">
      <c r="B161" s="16">
        <v>154</v>
      </c>
      <c r="C161" s="16" t="s">
        <v>700</v>
      </c>
      <c r="D161" s="13"/>
      <c r="E161" s="13"/>
      <c r="F161" s="16"/>
      <c r="G161" s="16"/>
      <c r="H161" s="16"/>
    </row>
    <row r="162" spans="2:8" ht="14.25" customHeight="1">
      <c r="B162" s="16">
        <v>155</v>
      </c>
      <c r="C162" s="16" t="s">
        <v>706</v>
      </c>
      <c r="D162" s="13"/>
      <c r="E162" s="13"/>
      <c r="F162" s="16"/>
      <c r="G162" s="16"/>
      <c r="H162" s="16"/>
    </row>
    <row r="163" spans="2:8" ht="14.25" customHeight="1">
      <c r="B163" s="16">
        <v>156</v>
      </c>
      <c r="C163" s="16" t="s">
        <v>709</v>
      </c>
      <c r="D163" s="13"/>
      <c r="E163" s="13"/>
      <c r="F163" s="16"/>
      <c r="G163" s="16"/>
      <c r="H163" s="16"/>
    </row>
    <row r="164" spans="2:8" ht="14.25" customHeight="1">
      <c r="B164" s="16">
        <v>157</v>
      </c>
      <c r="C164" s="16" t="s">
        <v>712</v>
      </c>
      <c r="D164" s="13"/>
      <c r="E164" s="13"/>
      <c r="F164" s="16"/>
      <c r="G164" s="16"/>
      <c r="H164" s="16"/>
    </row>
    <row r="165" spans="2:8" ht="14.25" customHeight="1">
      <c r="B165" s="16">
        <v>158</v>
      </c>
      <c r="C165" s="16" t="s">
        <v>718</v>
      </c>
      <c r="D165" s="13"/>
      <c r="E165" s="13"/>
      <c r="F165" s="16"/>
      <c r="G165" s="16"/>
      <c r="H165" s="16"/>
    </row>
    <row r="166" spans="2:8" ht="14.25" customHeight="1">
      <c r="B166" s="16">
        <v>159</v>
      </c>
      <c r="C166" s="16" t="s">
        <v>721</v>
      </c>
      <c r="D166" s="13"/>
      <c r="E166" s="13"/>
      <c r="F166" s="16"/>
      <c r="G166" s="16"/>
      <c r="H166" s="16"/>
    </row>
    <row r="167" spans="2:8" ht="14.25" customHeight="1">
      <c r="B167" s="16">
        <v>160</v>
      </c>
      <c r="C167" s="16" t="s">
        <v>724</v>
      </c>
      <c r="D167" s="13"/>
      <c r="E167" s="13"/>
      <c r="F167" s="16"/>
      <c r="G167" s="16"/>
      <c r="H167" s="16"/>
    </row>
    <row r="168" spans="2:8" ht="14.25" customHeight="1">
      <c r="B168" s="16">
        <v>161</v>
      </c>
      <c r="C168" s="21" t="s">
        <v>727</v>
      </c>
      <c r="D168" s="13"/>
      <c r="E168" s="13"/>
      <c r="F168" s="16"/>
      <c r="G168" s="16"/>
      <c r="H168" s="16"/>
    </row>
    <row r="169" spans="2:8" ht="14.25" customHeight="1">
      <c r="B169" s="16">
        <v>162</v>
      </c>
      <c r="C169" s="16" t="s">
        <v>730</v>
      </c>
      <c r="D169" s="13"/>
      <c r="E169" s="13"/>
      <c r="F169" s="16"/>
      <c r="G169" s="16"/>
      <c r="H169" s="16"/>
    </row>
    <row r="170" spans="2:8" ht="14.25" customHeight="1">
      <c r="B170" s="16">
        <v>163</v>
      </c>
      <c r="C170" s="16" t="s">
        <v>736</v>
      </c>
      <c r="D170" s="13"/>
      <c r="E170" s="13"/>
      <c r="F170" s="16"/>
      <c r="G170" s="16"/>
      <c r="H170" s="16"/>
    </row>
    <row r="171" spans="2:8" ht="14.25" customHeight="1">
      <c r="B171" s="16">
        <v>164</v>
      </c>
      <c r="C171" s="16" t="s">
        <v>739</v>
      </c>
      <c r="D171" s="13"/>
      <c r="E171" s="13"/>
      <c r="F171" s="16"/>
      <c r="G171" s="16"/>
      <c r="H171" s="16"/>
    </row>
    <row r="172" spans="2:8" ht="14.25" customHeight="1">
      <c r="B172" s="16">
        <v>165</v>
      </c>
      <c r="C172" s="16" t="s">
        <v>742</v>
      </c>
      <c r="D172" s="13"/>
      <c r="E172" s="13"/>
      <c r="F172" s="16"/>
      <c r="G172" s="16"/>
      <c r="H172" s="16"/>
    </row>
    <row r="173" spans="2:8" ht="14.25" customHeight="1">
      <c r="B173" s="16">
        <v>166</v>
      </c>
      <c r="C173" s="16" t="s">
        <v>745</v>
      </c>
      <c r="D173" s="13"/>
      <c r="E173" s="13"/>
      <c r="F173" s="16"/>
      <c r="G173" s="16"/>
      <c r="H173" s="16"/>
    </row>
    <row r="174" spans="2:8" ht="14.25" customHeight="1">
      <c r="B174" s="16">
        <v>167</v>
      </c>
      <c r="C174" s="16" t="s">
        <v>751</v>
      </c>
      <c r="D174" s="13"/>
      <c r="E174" s="13"/>
      <c r="F174" s="16"/>
      <c r="G174" s="16"/>
      <c r="H174" s="16"/>
    </row>
    <row r="175" spans="2:8" ht="14.25" customHeight="1">
      <c r="B175" s="16">
        <v>168</v>
      </c>
      <c r="C175" s="16" t="s">
        <v>757</v>
      </c>
      <c r="D175" s="13"/>
      <c r="E175" s="13"/>
      <c r="F175" s="16"/>
      <c r="G175" s="16"/>
      <c r="H175" s="16"/>
    </row>
    <row r="176" spans="2:8" ht="14.25" customHeight="1">
      <c r="B176" s="16">
        <v>169</v>
      </c>
      <c r="C176" s="16" t="s">
        <v>760</v>
      </c>
      <c r="D176" s="13"/>
      <c r="E176" s="13"/>
      <c r="F176" s="16"/>
      <c r="G176" s="16"/>
      <c r="H176" s="16"/>
    </row>
    <row r="177" spans="2:8" ht="14.25" customHeight="1">
      <c r="B177" s="16">
        <v>170</v>
      </c>
      <c r="C177" s="16" t="s">
        <v>763</v>
      </c>
      <c r="D177" s="13"/>
      <c r="E177" s="13"/>
      <c r="F177" s="16"/>
      <c r="G177" s="16"/>
      <c r="H177" s="16"/>
    </row>
    <row r="178" spans="2:8" ht="14.25" customHeight="1">
      <c r="B178" s="16">
        <v>171</v>
      </c>
      <c r="C178" s="16" t="s">
        <v>766</v>
      </c>
      <c r="D178" s="13"/>
      <c r="E178" s="13"/>
      <c r="F178" s="16"/>
      <c r="G178" s="16"/>
      <c r="H178" s="16"/>
    </row>
    <row r="179" spans="2:8" ht="14.25" customHeight="1">
      <c r="B179" s="16">
        <v>172</v>
      </c>
      <c r="C179" s="16" t="s">
        <v>769</v>
      </c>
      <c r="D179" s="13"/>
      <c r="E179" s="13"/>
      <c r="F179" s="16"/>
      <c r="G179" s="16"/>
      <c r="H179" s="16"/>
    </row>
    <row r="180" spans="2:8" ht="14.25" customHeight="1">
      <c r="B180" s="16">
        <v>173</v>
      </c>
      <c r="C180" s="16" t="s">
        <v>775</v>
      </c>
      <c r="D180" s="13"/>
      <c r="E180" s="13"/>
      <c r="F180" s="16"/>
      <c r="G180" s="16"/>
      <c r="H180" s="16"/>
    </row>
    <row r="181" spans="2:8" ht="14.25" customHeight="1">
      <c r="B181" s="16">
        <v>174</v>
      </c>
      <c r="C181" s="16" t="s">
        <v>778</v>
      </c>
      <c r="D181" s="13"/>
      <c r="E181" s="13"/>
      <c r="F181" s="16"/>
      <c r="G181" s="16"/>
      <c r="H181" s="16"/>
    </row>
    <row r="182" spans="2:8" ht="14.25" customHeight="1">
      <c r="B182" s="16">
        <v>175</v>
      </c>
      <c r="C182" s="16" t="s">
        <v>784</v>
      </c>
      <c r="D182" s="13"/>
      <c r="E182" s="13"/>
      <c r="F182" s="16"/>
      <c r="G182" s="16"/>
      <c r="H182" s="16"/>
    </row>
    <row r="183" spans="2:8" ht="14.25" customHeight="1">
      <c r="B183" s="16">
        <v>176</v>
      </c>
      <c r="C183" s="16" t="s">
        <v>787</v>
      </c>
      <c r="D183" s="13"/>
      <c r="E183" s="13"/>
      <c r="F183" s="16"/>
      <c r="G183" s="16"/>
      <c r="H183" s="16"/>
    </row>
    <row r="184" spans="2:8" ht="14.25" customHeight="1">
      <c r="B184" s="16">
        <v>177</v>
      </c>
      <c r="C184" s="16" t="s">
        <v>790</v>
      </c>
      <c r="D184" s="13"/>
      <c r="E184" s="13"/>
      <c r="F184" s="16"/>
      <c r="G184" s="16"/>
      <c r="H184" s="16"/>
    </row>
    <row r="185" spans="2:8" ht="14.25" customHeight="1">
      <c r="B185" s="16">
        <v>178</v>
      </c>
      <c r="C185" s="16" t="s">
        <v>796</v>
      </c>
      <c r="D185" s="13"/>
      <c r="E185" s="13"/>
      <c r="F185" s="16"/>
      <c r="G185" s="16"/>
      <c r="H185" s="16"/>
    </row>
    <row r="186" spans="2:8" ht="14.25" customHeight="1">
      <c r="B186" s="16">
        <v>179</v>
      </c>
      <c r="C186" s="16" t="s">
        <v>802</v>
      </c>
      <c r="D186" s="13"/>
      <c r="E186" s="13"/>
      <c r="F186" s="16"/>
      <c r="G186" s="16"/>
      <c r="H186" s="16"/>
    </row>
    <row r="187" spans="2:8" ht="14.25" customHeight="1">
      <c r="B187" s="16">
        <v>180</v>
      </c>
      <c r="C187" s="16" t="s">
        <v>896</v>
      </c>
      <c r="D187" s="13"/>
      <c r="E187" s="13"/>
      <c r="F187" s="16"/>
      <c r="G187" s="16"/>
      <c r="H187" s="16"/>
    </row>
    <row r="188" spans="2:8" ht="14.25" customHeight="1">
      <c r="B188" s="16">
        <v>181</v>
      </c>
      <c r="C188" s="16" t="s">
        <v>811</v>
      </c>
      <c r="D188" s="13"/>
      <c r="E188" s="13"/>
      <c r="F188" s="16"/>
      <c r="G188" s="16"/>
      <c r="H188" s="16"/>
    </row>
    <row r="189" spans="2:8" ht="14.25" customHeight="1">
      <c r="B189" s="16">
        <v>182</v>
      </c>
      <c r="C189" s="16" t="s">
        <v>814</v>
      </c>
      <c r="D189" s="13"/>
      <c r="E189" s="13"/>
      <c r="F189" s="16"/>
      <c r="G189" s="16"/>
      <c r="H189" s="16"/>
    </row>
    <row r="190" spans="2:8" ht="14.25" customHeight="1">
      <c r="B190" s="16">
        <v>183</v>
      </c>
      <c r="C190" s="16" t="s">
        <v>817</v>
      </c>
      <c r="D190" s="13"/>
      <c r="E190" s="13"/>
      <c r="F190" s="16"/>
      <c r="G190" s="16"/>
      <c r="H190" s="16"/>
    </row>
    <row r="191" spans="2:8" ht="14.25" customHeight="1">
      <c r="B191" s="16">
        <v>184</v>
      </c>
      <c r="C191" s="16" t="s">
        <v>897</v>
      </c>
      <c r="D191" s="13"/>
      <c r="E191" s="13"/>
      <c r="F191" s="16"/>
      <c r="G191" s="16"/>
      <c r="H191" s="16"/>
    </row>
    <row r="192" spans="2:8" ht="14.25" customHeight="1">
      <c r="B192" s="16">
        <v>185</v>
      </c>
      <c r="C192" s="16" t="s">
        <v>832</v>
      </c>
      <c r="D192" s="13"/>
      <c r="E192" s="13"/>
      <c r="F192" s="16"/>
      <c r="G192" s="16"/>
      <c r="H192" s="16"/>
    </row>
    <row r="193" spans="2:8" ht="14.25" customHeight="1">
      <c r="B193" s="16">
        <v>186</v>
      </c>
      <c r="C193" s="16" t="s">
        <v>838</v>
      </c>
      <c r="D193" s="13"/>
      <c r="E193" s="13"/>
      <c r="F193" s="16"/>
      <c r="G193" s="16"/>
      <c r="H193" s="16"/>
    </row>
    <row r="194" spans="2:8" ht="14.25" customHeight="1">
      <c r="B194" s="16">
        <v>187</v>
      </c>
      <c r="C194" s="16" t="s">
        <v>841</v>
      </c>
      <c r="D194" s="13"/>
      <c r="E194" s="13"/>
      <c r="F194" s="16"/>
      <c r="G194" s="16"/>
      <c r="H194" s="16"/>
    </row>
    <row r="195" spans="2:8" ht="14.25" customHeight="1">
      <c r="B195" s="16">
        <v>188</v>
      </c>
      <c r="C195" s="16" t="s">
        <v>844</v>
      </c>
      <c r="D195" s="13"/>
      <c r="E195" s="13"/>
      <c r="F195" s="16"/>
      <c r="G195" s="16"/>
      <c r="H195" s="16"/>
    </row>
    <row r="196" spans="2:8" ht="14.25" customHeight="1">
      <c r="B196" s="16">
        <v>189</v>
      </c>
      <c r="C196" s="16" t="s">
        <v>847</v>
      </c>
      <c r="D196" s="13"/>
      <c r="E196" s="13"/>
      <c r="F196" s="16"/>
      <c r="G196" s="16"/>
      <c r="H196" s="16"/>
    </row>
    <row r="197" spans="2:8" ht="14.25" customHeight="1">
      <c r="B197" s="16">
        <v>190</v>
      </c>
      <c r="C197" s="16" t="s">
        <v>850</v>
      </c>
      <c r="D197" s="13"/>
      <c r="E197" s="13"/>
      <c r="F197" s="16"/>
      <c r="G197" s="16"/>
      <c r="H197" s="16"/>
    </row>
    <row r="198" spans="2:8" ht="14.25" customHeight="1">
      <c r="B198" s="16">
        <v>191</v>
      </c>
      <c r="C198" s="16" t="s">
        <v>853</v>
      </c>
      <c r="D198" s="13"/>
      <c r="E198" s="13"/>
      <c r="F198" s="16"/>
      <c r="G198" s="16"/>
      <c r="H198" s="16"/>
    </row>
    <row r="199" spans="2:8" ht="14.25" customHeight="1">
      <c r="B199" s="16">
        <v>192</v>
      </c>
      <c r="C199" s="16" t="s">
        <v>868</v>
      </c>
      <c r="D199" s="13"/>
      <c r="E199" s="13"/>
      <c r="F199" s="16"/>
      <c r="G199" s="16"/>
      <c r="H199" s="16"/>
    </row>
    <row r="200" spans="2:8" ht="14.25" customHeight="1">
      <c r="B200" s="16">
        <v>193</v>
      </c>
      <c r="C200" s="16" t="s">
        <v>874</v>
      </c>
      <c r="D200" s="13"/>
      <c r="E200" s="13"/>
      <c r="F200" s="16"/>
      <c r="G200" s="16"/>
      <c r="H200" s="16"/>
    </row>
    <row r="201" spans="2:8" ht="14.25" customHeight="1">
      <c r="B201" s="16">
        <v>194</v>
      </c>
      <c r="C201" s="16" t="s">
        <v>877</v>
      </c>
      <c r="D201" s="13"/>
      <c r="E201" s="13"/>
      <c r="F201" s="16"/>
      <c r="G201" s="16"/>
      <c r="H201" s="16"/>
    </row>
    <row r="202" spans="2:8" ht="14.25" customHeight="1">
      <c r="B202" s="16">
        <v>195</v>
      </c>
      <c r="C202" s="16" t="s">
        <v>898</v>
      </c>
      <c r="D202" s="13"/>
      <c r="E202" s="13"/>
      <c r="F202" s="16"/>
      <c r="G202" s="16"/>
      <c r="H202" s="16"/>
    </row>
  </sheetData>
  <mergeCells count="2">
    <mergeCell ref="B1:O1"/>
    <mergeCell ref="B2:O2"/>
  </mergeCells>
  <dataValidations count="1">
    <dataValidation type="decimal" operator="greaterThanOrEqual" allowBlank="1" showErrorMessage="1" sqref="D8:E202" xr:uid="{3EF43260-5B0F-4F26-9C74-09D5410393DD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8BD9-F3C9-41D2-92A5-A9D4A5A2E6C3}">
  <sheetPr>
    <outlinePr summaryBelow="0" summaryRight="0"/>
    <pageSetUpPr autoPageBreaks="0"/>
  </sheetPr>
  <dimension ref="B1:M100"/>
  <sheetViews>
    <sheetView zoomScaleSheetLayoutView="100" workbookViewId="0">
      <pane ySplit="10" topLeftCell="A67" activePane="bottomLeft" state="frozen"/>
      <selection pane="bottomLeft"/>
    </sheetView>
  </sheetViews>
  <sheetFormatPr defaultRowHeight="15" customHeight="1"/>
  <cols>
    <col min="1" max="1" width="9.125" customWidth="1"/>
    <col min="2" max="2" width="10.875" customWidth="1"/>
    <col min="3" max="3" width="67" customWidth="1"/>
    <col min="4" max="4" width="13.125" customWidth="1"/>
    <col min="5" max="5" width="11" customWidth="1"/>
    <col min="6" max="7" width="15.25" customWidth="1"/>
    <col min="8" max="8" width="9.125" customWidth="1"/>
    <col min="9" max="9" width="14" customWidth="1"/>
    <col min="10" max="10" width="12" customWidth="1"/>
    <col min="11" max="11" width="10.375" customWidth="1"/>
    <col min="12" max="12" width="12.25" customWidth="1"/>
    <col min="13" max="13" width="11.75" customWidth="1"/>
    <col min="14" max="256" width="15" customWidth="1"/>
  </cols>
  <sheetData>
    <row r="1" spans="2:13" ht="14.25" customHeight="1">
      <c r="B1" s="39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2:13" ht="14.25" customHeight="1">
      <c r="B2" s="39" t="s">
        <v>899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2:13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14.25" customHeight="1">
      <c r="B4" s="5" t="s">
        <v>15</v>
      </c>
      <c r="C4" s="7" t="str">
        <f>Demographic!C4</f>
        <v>Kenya</v>
      </c>
      <c r="F4" s="5" t="s">
        <v>16</v>
      </c>
      <c r="G4" s="22" t="str">
        <f>Demographic!G4</f>
        <v>AFR</v>
      </c>
      <c r="L4" s="5" t="s">
        <v>17</v>
      </c>
      <c r="M4" s="7">
        <f>Demographic!Q4</f>
        <v>2023</v>
      </c>
    </row>
    <row r="5" spans="2:13" ht="14.25" customHeight="1">
      <c r="B5" s="23"/>
      <c r="L5" s="23"/>
    </row>
    <row r="6" spans="2:13" ht="18" customHeight="1">
      <c r="B6" s="24"/>
      <c r="C6" s="18"/>
      <c r="D6" s="43"/>
      <c r="E6" s="40"/>
      <c r="L6" s="23"/>
    </row>
    <row r="7" spans="2:13" ht="18" customHeight="1">
      <c r="B7" s="24"/>
      <c r="C7" s="18"/>
      <c r="D7" s="43"/>
      <c r="E7" s="40"/>
      <c r="L7" s="23"/>
    </row>
    <row r="8" spans="2:13" ht="14.25" customHeight="1"/>
    <row r="9" spans="2:13" ht="14.25" customHeight="1">
      <c r="B9" s="34" t="s">
        <v>26</v>
      </c>
      <c r="C9" s="34" t="s">
        <v>27</v>
      </c>
      <c r="D9" s="34" t="s">
        <v>28</v>
      </c>
      <c r="E9" s="36" t="s">
        <v>900</v>
      </c>
      <c r="F9" s="37"/>
      <c r="G9" s="38"/>
      <c r="H9" s="36" t="s">
        <v>901</v>
      </c>
      <c r="I9" s="37"/>
      <c r="J9" s="37"/>
      <c r="K9" s="37"/>
      <c r="L9" s="37"/>
      <c r="M9" s="38"/>
    </row>
    <row r="10" spans="2:13" ht="50.25" customHeight="1">
      <c r="B10" s="35"/>
      <c r="C10" s="35"/>
      <c r="D10" s="35"/>
      <c r="E10" s="11" t="s">
        <v>902</v>
      </c>
      <c r="F10" s="11" t="s">
        <v>903</v>
      </c>
      <c r="G10" s="11" t="s">
        <v>904</v>
      </c>
      <c r="H10" s="11" t="s">
        <v>905</v>
      </c>
      <c r="I10" s="11" t="s">
        <v>906</v>
      </c>
      <c r="J10" s="11" t="s">
        <v>907</v>
      </c>
      <c r="K10" s="11" t="s">
        <v>908</v>
      </c>
      <c r="L10" s="11" t="s">
        <v>909</v>
      </c>
      <c r="M10" s="11" t="s">
        <v>910</v>
      </c>
    </row>
    <row r="11" spans="2:13" ht="18" customHeight="1">
      <c r="B11" s="13">
        <v>1</v>
      </c>
      <c r="C11" s="14" t="s">
        <v>57</v>
      </c>
      <c r="D11" s="15">
        <f>Demographic!D8</f>
        <v>4667</v>
      </c>
      <c r="E11" s="15">
        <f t="shared" ref="E11:M11" si="0">IF(COUNT(E12,E13,E20)&gt;0,SUM(E12,E13,E20),NA())</f>
        <v>4747</v>
      </c>
      <c r="F11" s="15" t="e">
        <f t="shared" si="0"/>
        <v>#N/A</v>
      </c>
      <c r="G11" s="15" t="e">
        <f t="shared" si="0"/>
        <v>#N/A</v>
      </c>
      <c r="H11" s="15">
        <f t="shared" si="0"/>
        <v>4102</v>
      </c>
      <c r="I11" s="15" t="e">
        <f t="shared" si="0"/>
        <v>#N/A</v>
      </c>
      <c r="J11" s="15" t="e">
        <f t="shared" si="0"/>
        <v>#N/A</v>
      </c>
      <c r="K11" s="15" t="e">
        <f t="shared" si="0"/>
        <v>#N/A</v>
      </c>
      <c r="L11" s="15" t="e">
        <f t="shared" si="0"/>
        <v>#N/A</v>
      </c>
      <c r="M11" s="15" t="e">
        <f t="shared" si="0"/>
        <v>#N/A</v>
      </c>
    </row>
    <row r="12" spans="2:13" ht="18" customHeight="1">
      <c r="B12" s="13">
        <v>1.1000000000000001</v>
      </c>
      <c r="C12" s="14" t="s">
        <v>62</v>
      </c>
      <c r="D12" s="26">
        <f>Demographic!D9</f>
        <v>3015</v>
      </c>
      <c r="E12" s="13">
        <v>3076</v>
      </c>
      <c r="F12" s="13"/>
      <c r="G12" s="13"/>
      <c r="H12" s="13">
        <v>2697</v>
      </c>
      <c r="I12" s="13"/>
      <c r="J12" s="13"/>
      <c r="K12" s="13"/>
      <c r="L12" s="13"/>
      <c r="M12" s="13"/>
    </row>
    <row r="13" spans="2:13" ht="18" customHeight="1">
      <c r="B13" s="13">
        <v>1.2</v>
      </c>
      <c r="C13" s="14" t="s">
        <v>66</v>
      </c>
      <c r="D13" s="26">
        <f>Demographic!D10</f>
        <v>1652</v>
      </c>
      <c r="E13" s="13">
        <v>1671</v>
      </c>
      <c r="F13" s="13"/>
      <c r="G13" s="13"/>
      <c r="H13" s="13">
        <v>1405</v>
      </c>
      <c r="I13" s="13"/>
      <c r="J13" s="13"/>
      <c r="K13" s="13"/>
      <c r="L13" s="13"/>
      <c r="M13" s="13"/>
    </row>
    <row r="14" spans="2:13" ht="18" customHeight="1">
      <c r="B14" s="13" t="s">
        <v>70</v>
      </c>
      <c r="C14" s="14" t="s">
        <v>71</v>
      </c>
      <c r="D14" s="26">
        <f>Demographic!D11</f>
        <v>238</v>
      </c>
      <c r="E14" s="13">
        <v>238</v>
      </c>
      <c r="F14" s="13"/>
      <c r="G14" s="13"/>
      <c r="H14" s="13">
        <v>227</v>
      </c>
      <c r="I14" s="13"/>
      <c r="J14" s="13"/>
      <c r="K14" s="13"/>
      <c r="L14" s="13"/>
      <c r="M14" s="13"/>
    </row>
    <row r="15" spans="2:13" ht="18" customHeight="1">
      <c r="B15" s="13" t="s">
        <v>75</v>
      </c>
      <c r="C15" s="14" t="s">
        <v>76</v>
      </c>
      <c r="D15" s="26">
        <f>Demographic!D12</f>
        <v>296</v>
      </c>
      <c r="E15" s="13">
        <v>296</v>
      </c>
      <c r="F15" s="13"/>
      <c r="G15" s="13"/>
      <c r="H15" s="13">
        <v>278</v>
      </c>
      <c r="I15" s="13"/>
      <c r="J15" s="13"/>
      <c r="K15" s="13"/>
      <c r="L15" s="13"/>
      <c r="M15" s="13"/>
    </row>
    <row r="16" spans="2:13" ht="18" customHeight="1">
      <c r="B16" s="13" t="s">
        <v>80</v>
      </c>
      <c r="C16" s="14" t="s">
        <v>81</v>
      </c>
      <c r="D16" s="26">
        <f>Demographic!D13</f>
        <v>0</v>
      </c>
      <c r="E16" s="13"/>
      <c r="F16" s="13"/>
      <c r="G16" s="13"/>
      <c r="H16" s="13"/>
      <c r="I16" s="13"/>
      <c r="J16" s="13"/>
      <c r="K16" s="13"/>
      <c r="L16" s="13"/>
      <c r="M16" s="13"/>
    </row>
    <row r="17" spans="2:13" ht="18" customHeight="1">
      <c r="B17" s="13" t="s">
        <v>85</v>
      </c>
      <c r="C17" s="14" t="s">
        <v>86</v>
      </c>
      <c r="D17" s="26">
        <f>Demographic!D14</f>
        <v>403</v>
      </c>
      <c r="E17" s="13">
        <v>403</v>
      </c>
      <c r="F17" s="13"/>
      <c r="G17" s="13"/>
      <c r="H17" s="13">
        <v>358</v>
      </c>
      <c r="I17" s="13"/>
      <c r="J17" s="13"/>
      <c r="K17" s="13"/>
      <c r="L17" s="13"/>
      <c r="M17" s="13"/>
    </row>
    <row r="18" spans="2:13" ht="18" customHeight="1">
      <c r="B18" s="13" t="s">
        <v>90</v>
      </c>
      <c r="C18" s="14" t="s">
        <v>91</v>
      </c>
      <c r="D18" s="26">
        <f>Demographic!D15</f>
        <v>479</v>
      </c>
      <c r="E18" s="13">
        <v>479</v>
      </c>
      <c r="F18" s="13"/>
      <c r="G18" s="13"/>
      <c r="H18" s="13">
        <v>428</v>
      </c>
      <c r="I18" s="13"/>
      <c r="J18" s="13"/>
      <c r="K18" s="13"/>
      <c r="L18" s="13"/>
      <c r="M18" s="13"/>
    </row>
    <row r="19" spans="2:13" ht="18" customHeight="1">
      <c r="B19" s="13" t="s">
        <v>95</v>
      </c>
      <c r="C19" s="14" t="s">
        <v>96</v>
      </c>
      <c r="D19" s="26">
        <f>Demographic!D16</f>
        <v>129</v>
      </c>
      <c r="E19" s="13">
        <v>129</v>
      </c>
      <c r="F19" s="13"/>
      <c r="G19" s="13"/>
      <c r="H19" s="13">
        <v>120</v>
      </c>
      <c r="I19" s="13"/>
      <c r="J19" s="13"/>
      <c r="K19" s="13"/>
      <c r="L19" s="13"/>
      <c r="M19" s="13"/>
    </row>
    <row r="20" spans="2:13" ht="18" customHeight="1">
      <c r="B20" s="13">
        <v>1.3</v>
      </c>
      <c r="C20" s="14" t="s">
        <v>100</v>
      </c>
      <c r="D20" s="26">
        <f>Demographic!D17</f>
        <v>0</v>
      </c>
      <c r="E20" s="13"/>
      <c r="F20" s="13"/>
      <c r="G20" s="13"/>
      <c r="H20" s="13"/>
      <c r="I20" s="13"/>
      <c r="J20" s="13"/>
      <c r="K20" s="13"/>
      <c r="L20" s="13"/>
      <c r="M20" s="13"/>
    </row>
    <row r="21" spans="2:13" ht="18" customHeight="1">
      <c r="B21" s="13">
        <v>2</v>
      </c>
      <c r="C21" s="14" t="s">
        <v>104</v>
      </c>
      <c r="D21" s="15">
        <f>Demographic!D18</f>
        <v>34552</v>
      </c>
      <c r="E21" s="15">
        <f t="shared" ref="E21:M21" si="1">IF(COUNT(E22,E23,E24)&gt;0,SUM(E22,E23,E24),NA())</f>
        <v>34127</v>
      </c>
      <c r="F21" s="15" t="e">
        <f t="shared" si="1"/>
        <v>#N/A</v>
      </c>
      <c r="G21" s="15" t="e">
        <f t="shared" si="1"/>
        <v>#N/A</v>
      </c>
      <c r="H21" s="15">
        <f t="shared" si="1"/>
        <v>17914</v>
      </c>
      <c r="I21" s="15" t="e">
        <f t="shared" si="1"/>
        <v>#N/A</v>
      </c>
      <c r="J21" s="15" t="e">
        <f t="shared" si="1"/>
        <v>#N/A</v>
      </c>
      <c r="K21" s="15" t="e">
        <f t="shared" si="1"/>
        <v>#N/A</v>
      </c>
      <c r="L21" s="15" t="e">
        <f t="shared" si="1"/>
        <v>#N/A</v>
      </c>
      <c r="M21" s="15" t="e">
        <f t="shared" si="1"/>
        <v>#N/A</v>
      </c>
    </row>
    <row r="22" spans="2:13" ht="18" customHeight="1">
      <c r="B22" s="13">
        <v>2.1</v>
      </c>
      <c r="C22" s="14" t="s">
        <v>109</v>
      </c>
      <c r="D22" s="26">
        <f>Demographic!D19</f>
        <v>33542</v>
      </c>
      <c r="E22" s="13">
        <v>34127</v>
      </c>
      <c r="F22" s="13"/>
      <c r="G22" s="13"/>
      <c r="H22" s="13">
        <v>17914</v>
      </c>
      <c r="I22" s="13"/>
      <c r="J22" s="13"/>
      <c r="K22" s="13"/>
      <c r="L22" s="13"/>
      <c r="M22" s="13"/>
    </row>
    <row r="23" spans="2:13" ht="18" customHeight="1">
      <c r="B23" s="13">
        <v>2.2000000000000002</v>
      </c>
      <c r="C23" s="14" t="s">
        <v>113</v>
      </c>
      <c r="D23" s="26">
        <f>Demographic!D20</f>
        <v>1010</v>
      </c>
      <c r="E23" s="13"/>
      <c r="F23" s="13"/>
      <c r="G23" s="13"/>
      <c r="H23" s="13"/>
      <c r="I23" s="13"/>
      <c r="J23" s="13"/>
      <c r="K23" s="13"/>
      <c r="L23" s="13"/>
      <c r="M23" s="13"/>
    </row>
    <row r="24" spans="2:13" ht="18" customHeight="1">
      <c r="B24" s="13">
        <v>2.2999999999999998</v>
      </c>
      <c r="C24" s="14" t="s">
        <v>117</v>
      </c>
      <c r="D24" s="26">
        <f>Demographic!D21</f>
        <v>0</v>
      </c>
      <c r="E24" s="13"/>
      <c r="F24" s="13"/>
      <c r="G24" s="13"/>
      <c r="H24" s="13"/>
      <c r="I24" s="13"/>
      <c r="J24" s="13"/>
      <c r="K24" s="13"/>
      <c r="L24" s="13"/>
      <c r="M24" s="13"/>
    </row>
    <row r="25" spans="2:13" ht="18" customHeight="1">
      <c r="B25" s="13">
        <v>3</v>
      </c>
      <c r="C25" s="14" t="s">
        <v>121</v>
      </c>
      <c r="D25" s="15">
        <f>Demographic!D22</f>
        <v>277</v>
      </c>
      <c r="E25" s="15">
        <f t="shared" ref="E25:M25" si="2">IF(COUNT(E26,E27,E28)&gt;0,SUM(E26,E27,E28),NA())</f>
        <v>277</v>
      </c>
      <c r="F25" s="15" t="e">
        <f t="shared" si="2"/>
        <v>#N/A</v>
      </c>
      <c r="G25" s="15" t="e">
        <f t="shared" si="2"/>
        <v>#N/A</v>
      </c>
      <c r="H25" s="15">
        <f t="shared" si="2"/>
        <v>305</v>
      </c>
      <c r="I25" s="15" t="e">
        <f t="shared" si="2"/>
        <v>#N/A</v>
      </c>
      <c r="J25" s="15" t="e">
        <f t="shared" si="2"/>
        <v>#N/A</v>
      </c>
      <c r="K25" s="15" t="e">
        <f t="shared" si="2"/>
        <v>#N/A</v>
      </c>
      <c r="L25" s="15" t="e">
        <f t="shared" si="2"/>
        <v>#N/A</v>
      </c>
      <c r="M25" s="15" t="e">
        <f t="shared" si="2"/>
        <v>#N/A</v>
      </c>
    </row>
    <row r="26" spans="2:13" ht="18" customHeight="1">
      <c r="B26" s="13">
        <v>3.1</v>
      </c>
      <c r="C26" s="14" t="s">
        <v>125</v>
      </c>
      <c r="D26" s="26">
        <f>Demographic!D23</f>
        <v>102</v>
      </c>
      <c r="E26" s="13">
        <v>102</v>
      </c>
      <c r="F26" s="13"/>
      <c r="G26" s="13"/>
      <c r="H26" s="13">
        <v>115</v>
      </c>
      <c r="I26" s="13"/>
      <c r="J26" s="13"/>
      <c r="K26" s="13"/>
      <c r="L26" s="13"/>
      <c r="M26" s="13"/>
    </row>
    <row r="27" spans="2:13" ht="18" customHeight="1">
      <c r="B27" s="13">
        <v>3.2</v>
      </c>
      <c r="C27" s="14" t="s">
        <v>129</v>
      </c>
      <c r="D27" s="26">
        <f>Demographic!D24</f>
        <v>175</v>
      </c>
      <c r="E27" s="13">
        <v>175</v>
      </c>
      <c r="F27" s="13"/>
      <c r="G27" s="13"/>
      <c r="H27" s="13">
        <v>190</v>
      </c>
      <c r="I27" s="13"/>
      <c r="J27" s="13"/>
      <c r="K27" s="13"/>
      <c r="L27" s="13"/>
      <c r="M27" s="13"/>
    </row>
    <row r="28" spans="2:13" ht="18" customHeight="1">
      <c r="B28" s="13">
        <v>3.3</v>
      </c>
      <c r="C28" s="14" t="s">
        <v>133</v>
      </c>
      <c r="D28" s="26">
        <f>Demographic!D25</f>
        <v>0</v>
      </c>
      <c r="E28" s="13"/>
      <c r="F28" s="13"/>
      <c r="G28" s="13"/>
      <c r="H28" s="13"/>
      <c r="I28" s="13"/>
      <c r="J28" s="13"/>
      <c r="K28" s="13"/>
      <c r="L28" s="13"/>
      <c r="M28" s="13"/>
    </row>
    <row r="29" spans="2:13" ht="18" customHeight="1">
      <c r="B29" s="13">
        <v>4</v>
      </c>
      <c r="C29" s="14" t="s">
        <v>137</v>
      </c>
      <c r="D29" s="26">
        <f>Demographic!D26</f>
        <v>372</v>
      </c>
      <c r="E29" s="13">
        <v>374</v>
      </c>
      <c r="F29" s="13"/>
      <c r="G29" s="13"/>
      <c r="H29" s="13">
        <v>364</v>
      </c>
      <c r="I29" s="13"/>
      <c r="J29" s="13"/>
      <c r="K29" s="13"/>
      <c r="L29" s="13"/>
      <c r="M29" s="13"/>
    </row>
    <row r="30" spans="2:13" ht="18" customHeight="1">
      <c r="B30" s="13">
        <v>5</v>
      </c>
      <c r="C30" s="14" t="s">
        <v>141</v>
      </c>
      <c r="D30" s="26">
        <f>Demographic!D27</f>
        <v>382</v>
      </c>
      <c r="E30" s="13">
        <v>389</v>
      </c>
      <c r="F30" s="13"/>
      <c r="G30" s="13"/>
      <c r="H30" s="13">
        <v>292</v>
      </c>
      <c r="I30" s="13"/>
      <c r="J30" s="13"/>
      <c r="K30" s="13"/>
      <c r="L30" s="13"/>
      <c r="M30" s="13"/>
    </row>
    <row r="31" spans="2:13" ht="18" customHeight="1">
      <c r="B31" s="13">
        <v>6</v>
      </c>
      <c r="C31" s="14" t="s">
        <v>145</v>
      </c>
      <c r="D31" s="26">
        <f>Demographic!D28</f>
        <v>0</v>
      </c>
      <c r="E31" s="13"/>
      <c r="F31" s="13"/>
      <c r="G31" s="13"/>
      <c r="H31" s="13"/>
      <c r="I31" s="13"/>
      <c r="J31" s="13"/>
      <c r="K31" s="13"/>
      <c r="L31" s="13"/>
      <c r="M31" s="13"/>
    </row>
    <row r="32" spans="2:13" ht="18" customHeight="1">
      <c r="B32" s="13">
        <v>7</v>
      </c>
      <c r="C32" s="14" t="s">
        <v>150</v>
      </c>
      <c r="D32" s="26">
        <f>Demographic!D29</f>
        <v>1186</v>
      </c>
      <c r="E32" s="13">
        <v>1206</v>
      </c>
      <c r="F32" s="13"/>
      <c r="G32" s="13"/>
      <c r="H32" s="13">
        <v>1031</v>
      </c>
      <c r="I32" s="13"/>
      <c r="J32" s="13"/>
      <c r="K32" s="13"/>
      <c r="L32" s="13"/>
      <c r="M32" s="13"/>
    </row>
    <row r="33" spans="2:13" ht="18" customHeight="1">
      <c r="B33" s="13">
        <v>8</v>
      </c>
      <c r="C33" s="14" t="s">
        <v>154</v>
      </c>
      <c r="D33" s="26">
        <f>Demographic!D30</f>
        <v>1929</v>
      </c>
      <c r="E33" s="13">
        <v>1977</v>
      </c>
      <c r="F33" s="13"/>
      <c r="G33" s="13"/>
      <c r="H33" s="13">
        <v>1269</v>
      </c>
      <c r="I33" s="13"/>
      <c r="J33" s="13"/>
      <c r="K33" s="13"/>
      <c r="L33" s="13"/>
      <c r="M33" s="13"/>
    </row>
    <row r="34" spans="2:13" ht="18" customHeight="1">
      <c r="B34" s="13">
        <v>9</v>
      </c>
      <c r="C34" s="14" t="s">
        <v>158</v>
      </c>
      <c r="D34" s="26">
        <f>Demographic!D31</f>
        <v>7984</v>
      </c>
      <c r="E34" s="13">
        <v>8180</v>
      </c>
      <c r="F34" s="13"/>
      <c r="G34" s="13"/>
      <c r="H34" s="13">
        <v>4938</v>
      </c>
      <c r="I34" s="13"/>
      <c r="J34" s="13"/>
      <c r="K34" s="13"/>
      <c r="L34" s="13"/>
      <c r="M34" s="13"/>
    </row>
    <row r="35" spans="2:13" ht="18" customHeight="1">
      <c r="B35" s="13">
        <v>10</v>
      </c>
      <c r="C35" s="14" t="s">
        <v>162</v>
      </c>
      <c r="D35" s="26">
        <f>Demographic!D32</f>
        <v>0</v>
      </c>
      <c r="E35" s="13">
        <v>5442</v>
      </c>
      <c r="F35" s="13"/>
      <c r="G35" s="13"/>
      <c r="H35" s="13">
        <v>3092</v>
      </c>
      <c r="I35" s="13"/>
      <c r="J35" s="13"/>
      <c r="K35" s="13"/>
      <c r="L35" s="13"/>
      <c r="M35" s="13"/>
    </row>
    <row r="36" spans="2:13" ht="18" customHeight="1">
      <c r="B36" s="13">
        <v>11</v>
      </c>
      <c r="C36" s="14" t="s">
        <v>166</v>
      </c>
      <c r="D36" s="26">
        <f>Demographic!D33</f>
        <v>836</v>
      </c>
      <c r="E36" s="13">
        <v>848</v>
      </c>
      <c r="F36" s="13"/>
      <c r="G36" s="13"/>
      <c r="H36" s="13"/>
      <c r="I36" s="13"/>
      <c r="J36" s="13"/>
      <c r="K36" s="13"/>
      <c r="L36" s="13"/>
      <c r="M36" s="13"/>
    </row>
    <row r="37" spans="2:13" ht="18" customHeight="1">
      <c r="B37" s="13">
        <v>12</v>
      </c>
      <c r="C37" s="14" t="s">
        <v>170</v>
      </c>
      <c r="D37" s="26">
        <f>Demographic!D34</f>
        <v>5310</v>
      </c>
      <c r="E37" s="13"/>
      <c r="F37" s="13"/>
      <c r="G37" s="13"/>
      <c r="H37" s="13"/>
      <c r="I37" s="13"/>
      <c r="J37" s="13"/>
      <c r="K37" s="13"/>
      <c r="L37" s="13"/>
      <c r="M37" s="13"/>
    </row>
    <row r="38" spans="2:13" ht="18" customHeight="1">
      <c r="B38" s="13">
        <v>13</v>
      </c>
      <c r="C38" s="14" t="s">
        <v>174</v>
      </c>
      <c r="D38" s="26">
        <f>Demographic!D35</f>
        <v>5055</v>
      </c>
      <c r="E38" s="13">
        <v>5144</v>
      </c>
      <c r="F38" s="13"/>
      <c r="G38" s="13"/>
      <c r="H38" s="13">
        <v>2025</v>
      </c>
      <c r="I38" s="13"/>
      <c r="J38" s="13"/>
      <c r="K38" s="13"/>
      <c r="L38" s="13"/>
      <c r="M38" s="13"/>
    </row>
    <row r="39" spans="2:13" ht="18" customHeight="1">
      <c r="B39" s="13">
        <v>14</v>
      </c>
      <c r="C39" s="14" t="s">
        <v>178</v>
      </c>
      <c r="D39" s="26">
        <f>Demographic!D36</f>
        <v>0</v>
      </c>
      <c r="E39" s="13"/>
      <c r="F39" s="13"/>
      <c r="G39" s="13"/>
      <c r="H39" s="13"/>
      <c r="I39" s="13"/>
      <c r="J39" s="13"/>
      <c r="K39" s="13"/>
      <c r="L39" s="13"/>
      <c r="M39" s="13"/>
    </row>
    <row r="40" spans="2:13" ht="18" customHeight="1">
      <c r="B40" s="13">
        <v>15</v>
      </c>
      <c r="C40" s="14" t="s">
        <v>182</v>
      </c>
      <c r="D40" s="26">
        <f>Demographic!D37</f>
        <v>0</v>
      </c>
      <c r="E40" s="13"/>
      <c r="F40" s="13"/>
      <c r="G40" s="13"/>
      <c r="H40" s="13"/>
      <c r="I40" s="13"/>
      <c r="J40" s="13"/>
      <c r="K40" s="13"/>
      <c r="L40" s="13"/>
      <c r="M40" s="13"/>
    </row>
    <row r="41" spans="2:13" ht="18" customHeight="1">
      <c r="B41" s="13">
        <v>16</v>
      </c>
      <c r="C41" s="14" t="s">
        <v>186</v>
      </c>
      <c r="D41" s="26">
        <f>Demographic!D38</f>
        <v>0</v>
      </c>
      <c r="E41" s="13"/>
      <c r="F41" s="13"/>
      <c r="G41" s="13"/>
      <c r="H41" s="13"/>
      <c r="I41" s="13"/>
      <c r="J41" s="13"/>
      <c r="K41" s="13"/>
      <c r="L41" s="13"/>
      <c r="M41" s="13"/>
    </row>
    <row r="42" spans="2:13" ht="18" customHeight="1">
      <c r="B42" s="13">
        <v>17</v>
      </c>
      <c r="C42" s="14" t="s">
        <v>190</v>
      </c>
      <c r="D42" s="26">
        <f>Demographic!D39</f>
        <v>6344</v>
      </c>
      <c r="E42" s="13">
        <v>6344</v>
      </c>
      <c r="F42" s="13"/>
      <c r="G42" s="13"/>
      <c r="H42" s="13">
        <v>1026</v>
      </c>
      <c r="I42" s="13"/>
      <c r="J42" s="13"/>
      <c r="K42" s="13"/>
      <c r="L42" s="13"/>
      <c r="M42" s="13"/>
    </row>
    <row r="43" spans="2:13" ht="18" customHeight="1">
      <c r="B43" s="13">
        <v>18</v>
      </c>
      <c r="C43" s="14" t="s">
        <v>194</v>
      </c>
      <c r="D43" s="26">
        <f>Demographic!D40</f>
        <v>0</v>
      </c>
      <c r="E43" s="13"/>
      <c r="F43" s="13"/>
      <c r="G43" s="13"/>
      <c r="H43" s="13"/>
      <c r="I43" s="13"/>
      <c r="J43" s="13"/>
      <c r="K43" s="13"/>
      <c r="L43" s="13"/>
      <c r="M43" s="13"/>
    </row>
    <row r="44" spans="2:13" ht="18" customHeight="1">
      <c r="B44" s="13">
        <v>18.100000000000001</v>
      </c>
      <c r="C44" s="14" t="s">
        <v>198</v>
      </c>
      <c r="D44" s="26">
        <f>Demographic!D41</f>
        <v>0</v>
      </c>
      <c r="E44" s="13"/>
      <c r="F44" s="13"/>
      <c r="G44" s="13"/>
      <c r="H44" s="13"/>
      <c r="I44" s="13"/>
      <c r="J44" s="13"/>
      <c r="K44" s="13"/>
      <c r="L44" s="13"/>
      <c r="M44" s="13"/>
    </row>
    <row r="45" spans="2:13" ht="18" customHeight="1">
      <c r="B45" s="13">
        <v>18.2</v>
      </c>
      <c r="C45" s="14" t="s">
        <v>202</v>
      </c>
      <c r="D45" s="26">
        <f>Demographic!D42</f>
        <v>0</v>
      </c>
      <c r="E45" s="13"/>
      <c r="F45" s="13"/>
      <c r="G45" s="13"/>
      <c r="H45" s="13"/>
      <c r="I45" s="13"/>
      <c r="J45" s="13"/>
      <c r="K45" s="13"/>
      <c r="L45" s="13"/>
      <c r="M45" s="13"/>
    </row>
    <row r="46" spans="2:13" ht="18" customHeight="1">
      <c r="B46" s="13">
        <v>18.3</v>
      </c>
      <c r="C46" s="14" t="s">
        <v>206</v>
      </c>
      <c r="D46" s="26">
        <f>Demographic!D43</f>
        <v>0</v>
      </c>
      <c r="E46" s="13"/>
      <c r="F46" s="13"/>
      <c r="G46" s="13"/>
      <c r="H46" s="13"/>
      <c r="I46" s="13"/>
      <c r="J46" s="13"/>
      <c r="K46" s="13"/>
      <c r="L46" s="13"/>
      <c r="M46" s="13"/>
    </row>
    <row r="47" spans="2:13" ht="18" customHeight="1">
      <c r="B47" s="13">
        <v>19</v>
      </c>
      <c r="C47" s="14" t="s">
        <v>210</v>
      </c>
      <c r="D47" s="26">
        <f>Demographic!D44</f>
        <v>705</v>
      </c>
      <c r="E47" s="13">
        <v>722</v>
      </c>
      <c r="F47" s="13"/>
      <c r="G47" s="13"/>
      <c r="H47" s="13">
        <v>552</v>
      </c>
      <c r="I47" s="13"/>
      <c r="J47" s="13"/>
      <c r="K47" s="13"/>
      <c r="L47" s="13"/>
      <c r="M47" s="13"/>
    </row>
    <row r="48" spans="2:13" ht="18" customHeight="1">
      <c r="B48" s="13">
        <v>20</v>
      </c>
      <c r="C48" s="14" t="s">
        <v>214</v>
      </c>
      <c r="D48" s="26">
        <f>Demographic!D45</f>
        <v>68</v>
      </c>
      <c r="E48" s="13">
        <v>68</v>
      </c>
      <c r="F48" s="13"/>
      <c r="G48" s="13"/>
      <c r="H48" s="13"/>
      <c r="I48" s="13"/>
      <c r="J48" s="13"/>
      <c r="K48" s="13"/>
      <c r="L48" s="13"/>
      <c r="M48" s="13"/>
    </row>
    <row r="49" spans="2:13" ht="18" customHeight="1">
      <c r="B49" s="13">
        <v>21</v>
      </c>
      <c r="C49" s="14" t="s">
        <v>218</v>
      </c>
      <c r="D49" s="26">
        <f>Demographic!D46</f>
        <v>0</v>
      </c>
      <c r="E49" s="13">
        <v>2179</v>
      </c>
      <c r="F49" s="13"/>
      <c r="G49" s="13"/>
      <c r="H49" s="13">
        <v>1114</v>
      </c>
      <c r="I49" s="13"/>
      <c r="J49" s="13"/>
      <c r="K49" s="13"/>
      <c r="L49" s="13"/>
      <c r="M49" s="13"/>
    </row>
    <row r="50" spans="2:13" ht="18" customHeight="1">
      <c r="B50" s="13">
        <v>22</v>
      </c>
      <c r="C50" s="14" t="s">
        <v>222</v>
      </c>
      <c r="D50" s="26">
        <f>Demographic!D47</f>
        <v>2146</v>
      </c>
      <c r="E50" s="13"/>
      <c r="F50" s="13"/>
      <c r="G50" s="13"/>
      <c r="H50" s="13"/>
      <c r="I50" s="13"/>
      <c r="J50" s="13"/>
      <c r="K50" s="13"/>
      <c r="L50" s="13"/>
      <c r="M50" s="13"/>
    </row>
    <row r="51" spans="2:13" ht="18" customHeight="1">
      <c r="B51" s="13">
        <v>23</v>
      </c>
      <c r="C51" s="14" t="s">
        <v>226</v>
      </c>
      <c r="D51" s="26">
        <f>Demographic!D48</f>
        <v>0</v>
      </c>
      <c r="E51" s="13"/>
      <c r="F51" s="13"/>
      <c r="G51" s="13"/>
      <c r="H51" s="13"/>
      <c r="I51" s="13"/>
      <c r="J51" s="13"/>
      <c r="K51" s="13"/>
      <c r="L51" s="13"/>
      <c r="M51" s="13"/>
    </row>
    <row r="52" spans="2:13" ht="18" customHeight="1">
      <c r="B52" s="13">
        <v>24</v>
      </c>
      <c r="C52" s="14" t="s">
        <v>230</v>
      </c>
      <c r="D52" s="26">
        <f>Demographic!D49</f>
        <v>18</v>
      </c>
      <c r="E52" s="13">
        <v>18</v>
      </c>
      <c r="F52" s="13"/>
      <c r="G52" s="13"/>
      <c r="H52" s="13">
        <v>10</v>
      </c>
      <c r="I52" s="13"/>
      <c r="J52" s="13"/>
      <c r="K52" s="13"/>
      <c r="L52" s="13"/>
      <c r="M52" s="13"/>
    </row>
    <row r="53" spans="2:13" ht="18" customHeight="1">
      <c r="B53" s="13">
        <v>25</v>
      </c>
      <c r="C53" s="14" t="s">
        <v>234</v>
      </c>
      <c r="D53" s="26">
        <f>Demographic!D50</f>
        <v>0</v>
      </c>
      <c r="E53" s="13"/>
      <c r="F53" s="13"/>
      <c r="G53" s="13"/>
      <c r="H53" s="13"/>
      <c r="I53" s="13"/>
      <c r="J53" s="13"/>
      <c r="K53" s="13"/>
      <c r="L53" s="13"/>
      <c r="M53" s="13"/>
    </row>
    <row r="54" spans="2:13" ht="18" customHeight="1">
      <c r="B54" s="13">
        <v>26</v>
      </c>
      <c r="C54" s="14" t="s">
        <v>238</v>
      </c>
      <c r="D54" s="26">
        <f>Demographic!D51</f>
        <v>224</v>
      </c>
      <c r="E54" s="13">
        <v>224</v>
      </c>
      <c r="F54" s="13"/>
      <c r="G54" s="13"/>
      <c r="H54" s="13">
        <v>186</v>
      </c>
      <c r="I54" s="13"/>
      <c r="J54" s="13"/>
      <c r="K54" s="13"/>
      <c r="L54" s="13"/>
      <c r="M54" s="13"/>
    </row>
    <row r="55" spans="2:13" ht="18" customHeight="1">
      <c r="B55" s="13">
        <v>27</v>
      </c>
      <c r="C55" s="14" t="s">
        <v>242</v>
      </c>
      <c r="D55" s="26">
        <f>Demographic!D52</f>
        <v>0</v>
      </c>
      <c r="E55" s="13"/>
      <c r="F55" s="13"/>
      <c r="G55" s="13"/>
      <c r="H55" s="13"/>
      <c r="I55" s="13"/>
      <c r="J55" s="13"/>
      <c r="K55" s="13"/>
      <c r="L55" s="13"/>
      <c r="M55" s="13"/>
    </row>
    <row r="56" spans="2:13" ht="18" customHeight="1">
      <c r="B56" s="13">
        <v>28</v>
      </c>
      <c r="C56" s="14" t="s">
        <v>246</v>
      </c>
      <c r="D56" s="26">
        <f>Demographic!D53</f>
        <v>0</v>
      </c>
      <c r="E56" s="13"/>
      <c r="F56" s="13"/>
      <c r="G56" s="13"/>
      <c r="H56" s="13"/>
      <c r="I56" s="13"/>
      <c r="J56" s="13"/>
      <c r="K56" s="13"/>
      <c r="L56" s="13"/>
      <c r="M56" s="13"/>
    </row>
    <row r="57" spans="2:13" ht="18" customHeight="1">
      <c r="B57" s="13">
        <v>29</v>
      </c>
      <c r="C57" s="14" t="s">
        <v>250</v>
      </c>
      <c r="D57" s="26">
        <f>Demographic!D54</f>
        <v>0</v>
      </c>
      <c r="E57" s="13"/>
      <c r="F57" s="13"/>
      <c r="G57" s="13"/>
      <c r="H57" s="13"/>
      <c r="I57" s="13"/>
      <c r="J57" s="13"/>
      <c r="K57" s="13"/>
      <c r="L57" s="13"/>
      <c r="M57" s="13"/>
    </row>
    <row r="58" spans="2:13" ht="18" customHeight="1">
      <c r="B58" s="13">
        <v>30</v>
      </c>
      <c r="C58" s="14" t="s">
        <v>254</v>
      </c>
      <c r="D58" s="26">
        <f>Demographic!D55</f>
        <v>0</v>
      </c>
      <c r="E58" s="13"/>
      <c r="F58" s="13"/>
      <c r="G58" s="13"/>
      <c r="H58" s="13"/>
      <c r="I58" s="13"/>
      <c r="J58" s="13"/>
      <c r="K58" s="13"/>
      <c r="L58" s="13"/>
      <c r="M58" s="13"/>
    </row>
    <row r="59" spans="2:13" ht="18" customHeight="1">
      <c r="B59" s="13">
        <v>31</v>
      </c>
      <c r="C59" s="14" t="s">
        <v>258</v>
      </c>
      <c r="D59" s="26">
        <f>Demographic!D56</f>
        <v>0</v>
      </c>
      <c r="E59" s="13"/>
      <c r="F59" s="13"/>
      <c r="G59" s="13"/>
      <c r="H59" s="13"/>
      <c r="I59" s="13"/>
      <c r="J59" s="13"/>
      <c r="K59" s="13"/>
      <c r="L59" s="13"/>
      <c r="M59" s="13"/>
    </row>
    <row r="60" spans="2:13" ht="18" customHeight="1">
      <c r="B60" s="13">
        <v>32</v>
      </c>
      <c r="C60" s="14" t="s">
        <v>262</v>
      </c>
      <c r="D60" s="26">
        <f>Demographic!D57</f>
        <v>0</v>
      </c>
      <c r="E60" s="13"/>
      <c r="F60" s="13"/>
      <c r="G60" s="13"/>
      <c r="H60" s="13"/>
      <c r="I60" s="13"/>
      <c r="J60" s="13"/>
      <c r="K60" s="13"/>
      <c r="L60" s="13"/>
      <c r="M60" s="13"/>
    </row>
    <row r="61" spans="2:13" ht="18" customHeight="1">
      <c r="B61" s="13">
        <v>33</v>
      </c>
      <c r="C61" s="14" t="s">
        <v>266</v>
      </c>
      <c r="D61" s="26">
        <f>Demographic!D58</f>
        <v>0</v>
      </c>
      <c r="E61" s="13"/>
      <c r="F61" s="13"/>
      <c r="G61" s="13"/>
      <c r="H61" s="13"/>
      <c r="I61" s="13"/>
      <c r="J61" s="13"/>
      <c r="K61" s="13"/>
      <c r="L61" s="13"/>
      <c r="M61" s="13"/>
    </row>
    <row r="62" spans="2:13" ht="18" customHeight="1">
      <c r="B62" s="13">
        <v>34</v>
      </c>
      <c r="C62" s="14" t="s">
        <v>270</v>
      </c>
      <c r="D62" s="26">
        <f>Demographic!D59</f>
        <v>0</v>
      </c>
      <c r="E62" s="13"/>
      <c r="F62" s="13"/>
      <c r="G62" s="13"/>
      <c r="H62" s="13"/>
      <c r="I62" s="13"/>
      <c r="J62" s="13"/>
      <c r="K62" s="13"/>
      <c r="L62" s="13"/>
      <c r="M62" s="13"/>
    </row>
    <row r="63" spans="2:13" ht="18" customHeight="1">
      <c r="B63" s="13">
        <v>35</v>
      </c>
      <c r="C63" s="14" t="s">
        <v>274</v>
      </c>
      <c r="D63" s="26">
        <f>Demographic!D60</f>
        <v>2630</v>
      </c>
      <c r="E63" s="13">
        <v>2630</v>
      </c>
      <c r="F63" s="13"/>
      <c r="G63" s="13"/>
      <c r="H63" s="13">
        <v>2073</v>
      </c>
      <c r="I63" s="13"/>
      <c r="J63" s="13"/>
      <c r="K63" s="13"/>
      <c r="L63" s="13"/>
      <c r="M63" s="13"/>
    </row>
    <row r="64" spans="2:13" ht="18" customHeight="1">
      <c r="B64" s="13">
        <v>36</v>
      </c>
      <c r="C64" s="14" t="s">
        <v>278</v>
      </c>
      <c r="D64" s="26">
        <f>Demographic!D61</f>
        <v>0</v>
      </c>
      <c r="E64" s="13"/>
      <c r="F64" s="13"/>
      <c r="G64" s="13"/>
      <c r="H64" s="13"/>
      <c r="I64" s="13"/>
      <c r="J64" s="13"/>
      <c r="K64" s="13"/>
      <c r="L64" s="13"/>
      <c r="M64" s="13"/>
    </row>
    <row r="65" spans="2:13" ht="18" customHeight="1">
      <c r="B65" s="13">
        <v>37</v>
      </c>
      <c r="C65" s="14" t="s">
        <v>282</v>
      </c>
      <c r="D65" s="26">
        <f>Demographic!D62</f>
        <v>2254</v>
      </c>
      <c r="E65" s="13">
        <v>2299</v>
      </c>
      <c r="F65" s="13"/>
      <c r="G65" s="13"/>
      <c r="H65" s="13">
        <v>1581</v>
      </c>
      <c r="I65" s="13"/>
      <c r="J65" s="13"/>
      <c r="K65" s="13"/>
      <c r="L65" s="13"/>
      <c r="M65" s="13"/>
    </row>
    <row r="66" spans="2:13" ht="18" customHeight="1">
      <c r="B66" s="13">
        <v>38</v>
      </c>
      <c r="C66" s="14" t="s">
        <v>286</v>
      </c>
      <c r="D66" s="26">
        <f>Demographic!D63</f>
        <v>0</v>
      </c>
      <c r="E66" s="13"/>
      <c r="F66" s="13"/>
      <c r="G66" s="13"/>
      <c r="H66" s="13"/>
      <c r="I66" s="13"/>
      <c r="J66" s="13"/>
      <c r="K66" s="13"/>
      <c r="L66" s="13"/>
      <c r="M66" s="13"/>
    </row>
    <row r="67" spans="2:13" ht="18" customHeight="1">
      <c r="B67" s="13">
        <v>39</v>
      </c>
      <c r="C67" s="14" t="s">
        <v>290</v>
      </c>
      <c r="D67" s="26">
        <f>Demographic!D64</f>
        <v>0</v>
      </c>
      <c r="E67" s="13"/>
      <c r="F67" s="13"/>
      <c r="G67" s="13"/>
      <c r="H67" s="13"/>
      <c r="I67" s="13"/>
      <c r="J67" s="13"/>
      <c r="K67" s="13"/>
      <c r="L67" s="13"/>
      <c r="M67" s="13"/>
    </row>
    <row r="68" spans="2:13" ht="18" customHeight="1">
      <c r="B68" s="13">
        <v>40</v>
      </c>
      <c r="C68" s="14" t="s">
        <v>294</v>
      </c>
      <c r="D68" s="26">
        <f>Demographic!D65</f>
        <v>0</v>
      </c>
      <c r="E68" s="13"/>
      <c r="F68" s="13"/>
      <c r="G68" s="13"/>
      <c r="H68" s="13"/>
      <c r="I68" s="13"/>
      <c r="J68" s="13"/>
      <c r="K68" s="13"/>
      <c r="L68" s="13"/>
      <c r="M68" s="13"/>
    </row>
    <row r="69" spans="2:13" ht="18" customHeight="1">
      <c r="B69" s="13">
        <v>41</v>
      </c>
      <c r="C69" s="14" t="s">
        <v>298</v>
      </c>
      <c r="D69" s="17">
        <f>Demographic!D66</f>
        <v>0</v>
      </c>
      <c r="E69" s="13"/>
      <c r="F69" s="13"/>
      <c r="G69" s="13"/>
      <c r="H69" s="13"/>
      <c r="I69" s="13"/>
      <c r="J69" s="13"/>
      <c r="K69" s="13"/>
      <c r="L69" s="13"/>
      <c r="M69" s="13"/>
    </row>
    <row r="70" spans="2:13" ht="18" customHeight="1">
      <c r="B70" s="13">
        <v>41.1</v>
      </c>
      <c r="C70" s="14" t="s">
        <v>299</v>
      </c>
      <c r="D70" s="17">
        <f>Demographic!D67</f>
        <v>61</v>
      </c>
      <c r="E70" s="13">
        <v>61</v>
      </c>
      <c r="F70" s="13"/>
      <c r="G70" s="13"/>
      <c r="H70" s="13">
        <v>56</v>
      </c>
      <c r="I70" s="13"/>
      <c r="J70" s="13"/>
      <c r="K70" s="13"/>
      <c r="L70" s="13"/>
      <c r="M70" s="13"/>
    </row>
    <row r="71" spans="2:13" ht="14.25" customHeight="1"/>
    <row r="72" spans="2:13" ht="14.25" customHeight="1"/>
    <row r="73" spans="2:13" ht="14.25" customHeight="1"/>
    <row r="74" spans="2:13" ht="14.25" customHeight="1"/>
    <row r="75" spans="2:13" ht="14.25" customHeight="1"/>
    <row r="76" spans="2:13" ht="14.25" customHeight="1"/>
    <row r="77" spans="2:13" ht="14.25" customHeight="1"/>
    <row r="78" spans="2:13" ht="14.25" customHeight="1"/>
    <row r="79" spans="2:13" ht="14.25" customHeight="1"/>
    <row r="80" spans="2:1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H9:M9"/>
    <mergeCell ref="B1:M1"/>
    <mergeCell ref="B2:M2"/>
    <mergeCell ref="D6:E6"/>
    <mergeCell ref="D7:E7"/>
    <mergeCell ref="B9:B10"/>
    <mergeCell ref="C9:C10"/>
    <mergeCell ref="D9:D10"/>
    <mergeCell ref="E9:G9"/>
  </mergeCells>
  <dataValidations count="7">
    <dataValidation type="decimal" operator="greaterThanOrEqual" allowBlank="1" showErrorMessage="1" sqref="D6:D7" xr:uid="{E4FD3C9E-7F8E-41FC-BA34-7E688EB2B3E2}">
      <formula1>0</formula1>
    </dataValidation>
    <dataValidation type="decimal" operator="greaterThanOrEqual" allowBlank="1" showErrorMessage="1" sqref="D11" xr:uid="{59A46AAC-9714-4656-B5E3-BD85C0DACD41}">
      <formula1>0</formula1>
    </dataValidation>
    <dataValidation type="decimal" operator="greaterThanOrEqual" allowBlank="1" showErrorMessage="1" sqref="E12:M20" xr:uid="{30D08AC7-602C-4D48-B31D-22F40DF2379E}">
      <formula1>0</formula1>
    </dataValidation>
    <dataValidation type="decimal" operator="greaterThanOrEqual" allowBlank="1" showErrorMessage="1" sqref="D21" xr:uid="{93B7502F-1ED8-43FD-92AB-7618C762D785}">
      <formula1>0</formula1>
    </dataValidation>
    <dataValidation type="decimal" operator="greaterThanOrEqual" allowBlank="1" showErrorMessage="1" sqref="E22:M24" xr:uid="{F413B28F-0AC3-4B94-AB46-54FC6A2E322D}">
      <formula1>0</formula1>
    </dataValidation>
    <dataValidation type="decimal" operator="greaterThanOrEqual" allowBlank="1" showErrorMessage="1" sqref="D25" xr:uid="{9930A013-A408-4BC5-AD5D-CBC33587993E}">
      <formula1>0</formula1>
    </dataValidation>
    <dataValidation type="decimal" operator="greaterThanOrEqual" allowBlank="1" showErrorMessage="1" sqref="E26:M70" xr:uid="{EC4D8A98-2A4A-4348-B8BC-72DF33B66820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AE05-05D7-4377-82A9-DA97E04A7E48}">
  <sheetPr>
    <outlinePr summaryBelow="0" summaryRight="0"/>
    <pageSetUpPr autoPageBreaks="0"/>
  </sheetPr>
  <dimension ref="A1:T100"/>
  <sheetViews>
    <sheetView zoomScaleSheetLayoutView="100" workbookViewId="0">
      <pane ySplit="8" topLeftCell="A9" activePane="bottomLeft" state="frozen"/>
      <selection pane="bottomLeft"/>
    </sheetView>
  </sheetViews>
  <sheetFormatPr defaultRowHeight="15" customHeight="1"/>
  <cols>
    <col min="1" max="1" width="9.125" customWidth="1"/>
    <col min="2" max="2" width="10.875" customWidth="1"/>
    <col min="3" max="3" width="67" customWidth="1"/>
    <col min="4" max="4" width="17.25" customWidth="1"/>
    <col min="5" max="5" width="15.25" customWidth="1"/>
    <col min="6" max="6" width="13.25" customWidth="1"/>
    <col min="7" max="7" width="23" customWidth="1"/>
    <col min="8" max="9" width="12.375" customWidth="1"/>
    <col min="10" max="10" width="13.75" customWidth="1"/>
    <col min="11" max="18" width="12.25" customWidth="1"/>
    <col min="19" max="19" width="11.625" customWidth="1"/>
    <col min="20" max="20" width="9.125" hidden="1" customWidth="1"/>
    <col min="21" max="256" width="15" customWidth="1"/>
  </cols>
  <sheetData>
    <row r="1" spans="1:20" ht="14.25" customHeight="1">
      <c r="B1" s="39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20" ht="14.25" customHeight="1">
      <c r="B2" s="39" t="s">
        <v>911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t="e">
        <f>Demographic!W2</f>
        <v>#N/A</v>
      </c>
    </row>
    <row r="3" spans="1:20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ht="14.25" customHeight="1">
      <c r="B4" s="5" t="s">
        <v>15</v>
      </c>
      <c r="C4" s="7" t="str">
        <f>Demographic!C4</f>
        <v>Kenya</v>
      </c>
      <c r="E4" s="5" t="s">
        <v>16</v>
      </c>
      <c r="F4" s="22" t="str">
        <f>Demographic!G4</f>
        <v>AFR</v>
      </c>
      <c r="K4" s="5" t="s">
        <v>17</v>
      </c>
      <c r="L4" s="7">
        <f>Demographic!Q4</f>
        <v>2023</v>
      </c>
      <c r="M4" s="23"/>
      <c r="N4" s="23"/>
      <c r="O4" s="23"/>
      <c r="P4" s="23"/>
      <c r="Q4" s="23"/>
      <c r="R4" s="23"/>
    </row>
    <row r="5" spans="1:20" ht="14.25" customHeight="1">
      <c r="B5" s="23"/>
      <c r="K5" s="23"/>
      <c r="L5" s="23"/>
      <c r="M5" s="23"/>
      <c r="N5" s="23"/>
      <c r="O5" s="23"/>
      <c r="P5" s="23"/>
      <c r="Q5" s="23"/>
      <c r="R5" s="23"/>
    </row>
    <row r="6" spans="1:20" ht="14.25" customHeight="1"/>
    <row r="7" spans="1:20" ht="75" customHeight="1">
      <c r="A7" s="27"/>
      <c r="B7" s="11"/>
      <c r="C7" s="11"/>
      <c r="D7" s="11" t="s">
        <v>912</v>
      </c>
      <c r="E7" s="44" t="s">
        <v>913</v>
      </c>
      <c r="F7" s="37"/>
      <c r="G7" s="38"/>
      <c r="H7" s="44" t="s">
        <v>914</v>
      </c>
      <c r="I7" s="37"/>
      <c r="J7" s="38"/>
      <c r="K7" s="11" t="s">
        <v>915</v>
      </c>
      <c r="L7" s="44" t="s">
        <v>916</v>
      </c>
      <c r="M7" s="37"/>
      <c r="N7" s="38"/>
      <c r="O7" s="44" t="s">
        <v>917</v>
      </c>
      <c r="P7" s="37"/>
      <c r="Q7" s="38"/>
      <c r="R7" s="44" t="s">
        <v>918</v>
      </c>
      <c r="S7" s="38"/>
      <c r="T7" s="27"/>
    </row>
    <row r="8" spans="1:20" ht="75" customHeight="1">
      <c r="A8" s="27"/>
      <c r="B8" s="11"/>
      <c r="C8" s="11"/>
      <c r="D8" s="11" t="s">
        <v>28</v>
      </c>
      <c r="E8" s="11" t="s">
        <v>28</v>
      </c>
      <c r="F8" s="11" t="s">
        <v>41</v>
      </c>
      <c r="G8" s="11" t="s">
        <v>42</v>
      </c>
      <c r="H8" s="11" t="s">
        <v>28</v>
      </c>
      <c r="I8" s="11" t="s">
        <v>41</v>
      </c>
      <c r="J8" s="11" t="s">
        <v>42</v>
      </c>
      <c r="K8" s="11" t="s">
        <v>28</v>
      </c>
      <c r="L8" s="11" t="s">
        <v>28</v>
      </c>
      <c r="M8" s="11" t="s">
        <v>41</v>
      </c>
      <c r="N8" s="11" t="s">
        <v>42</v>
      </c>
      <c r="O8" s="11" t="s">
        <v>28</v>
      </c>
      <c r="P8" s="11" t="s">
        <v>41</v>
      </c>
      <c r="Q8" s="11" t="s">
        <v>42</v>
      </c>
      <c r="R8" s="11" t="s">
        <v>919</v>
      </c>
      <c r="S8" s="11" t="s">
        <v>920</v>
      </c>
      <c r="T8" s="27"/>
    </row>
    <row r="9" spans="1:20" ht="18" customHeight="1">
      <c r="B9" s="13">
        <v>1</v>
      </c>
      <c r="C9" s="14" t="s">
        <v>57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20" ht="18" customHeight="1">
      <c r="B10" s="13">
        <v>1.1000000000000001</v>
      </c>
      <c r="C10" s="14" t="s">
        <v>921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20" ht="18" customHeight="1">
      <c r="B11" s="13">
        <v>1.2</v>
      </c>
      <c r="C11" s="14" t="s">
        <v>66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20" ht="18" customHeight="1">
      <c r="B12" s="13">
        <v>2</v>
      </c>
      <c r="C12" s="14" t="s">
        <v>104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20" ht="18" customHeight="1">
      <c r="B13" s="13">
        <v>3</v>
      </c>
      <c r="C13" s="14" t="s">
        <v>121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20" ht="18" customHeight="1">
      <c r="B14" s="13">
        <v>4</v>
      </c>
      <c r="C14" s="14" t="s">
        <v>922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20" ht="18" customHeight="1">
      <c r="B15" s="13">
        <v>5</v>
      </c>
      <c r="C15" s="14" t="s">
        <v>923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7">
    <mergeCell ref="B1:S1"/>
    <mergeCell ref="B2:S2"/>
    <mergeCell ref="E7:G7"/>
    <mergeCell ref="H7:J7"/>
    <mergeCell ref="L7:N7"/>
    <mergeCell ref="O7:Q7"/>
    <mergeCell ref="R7:S7"/>
  </mergeCells>
  <dataValidations count="1">
    <dataValidation type="decimal" operator="greaterThanOrEqual" allowBlank="1" showErrorMessage="1" sqref="D9:S15" xr:uid="{6BA7A0F4-0205-47E0-B3F9-EE47B54F4A18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9207-B51B-40DE-BBDF-3F1C501C14FA}">
  <sheetPr>
    <outlinePr summaryBelow="0" summaryRight="0"/>
    <pageSetUpPr autoPageBreaks="0"/>
  </sheetPr>
  <dimension ref="A1:R109"/>
  <sheetViews>
    <sheetView zoomScaleSheetLayoutView="100" workbookViewId="0">
      <pane xSplit="3" ySplit="6" topLeftCell="D62" activePane="bottomRight" state="frozen"/>
      <selection pane="topRight"/>
      <selection pane="bottomLeft"/>
      <selection pane="bottomRight"/>
    </sheetView>
  </sheetViews>
  <sheetFormatPr defaultRowHeight="15" customHeight="1"/>
  <cols>
    <col min="1" max="1" width="12.25" customWidth="1"/>
    <col min="2" max="2" width="10.125" customWidth="1"/>
    <col min="3" max="3" width="67" customWidth="1"/>
    <col min="4" max="4" width="36.375" customWidth="1"/>
    <col min="5" max="6" width="8.875" customWidth="1"/>
    <col min="7" max="17" width="8.625" customWidth="1"/>
    <col min="18" max="18" width="9.125" customWidth="1"/>
    <col min="19" max="256" width="15" customWidth="1"/>
  </cols>
  <sheetData>
    <row r="1" spans="1:18" ht="14.25" customHeight="1">
      <c r="A1" s="25"/>
      <c r="B1" s="39" t="s">
        <v>1</v>
      </c>
      <c r="C1" s="40"/>
      <c r="D1" s="40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4.25" customHeight="1">
      <c r="A2" s="25"/>
      <c r="B2" s="39" t="s">
        <v>924</v>
      </c>
      <c r="C2" s="40"/>
      <c r="D2" s="40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14.25" customHeight="1">
      <c r="A3" s="25"/>
      <c r="B3" s="2"/>
      <c r="C3" s="2"/>
      <c r="D3" s="2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4.25" customHeight="1">
      <c r="A4" s="25"/>
      <c r="B4" s="17" t="s">
        <v>15</v>
      </c>
      <c r="C4" s="28" t="str">
        <f>Demographic!C4</f>
        <v>Kenya</v>
      </c>
      <c r="D4" s="25"/>
      <c r="E4" s="5" t="s">
        <v>16</v>
      </c>
      <c r="F4" s="22" t="str">
        <f>Demographic!G4</f>
        <v>AFR</v>
      </c>
      <c r="G4" s="25"/>
      <c r="H4" s="5" t="s">
        <v>17</v>
      </c>
      <c r="I4" s="22">
        <f>Demographic!Q4</f>
        <v>2023</v>
      </c>
      <c r="J4" s="25"/>
      <c r="K4" s="25"/>
      <c r="L4" s="25"/>
      <c r="M4" s="25"/>
      <c r="N4" s="25"/>
      <c r="O4" s="25"/>
      <c r="P4" s="25"/>
      <c r="Q4" s="25"/>
    </row>
    <row r="5" spans="1:18" ht="14.25" customHeight="1">
      <c r="A5" s="25"/>
      <c r="B5" s="2"/>
      <c r="C5" s="2"/>
      <c r="D5" s="9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75" customHeight="1">
      <c r="A6" s="25"/>
      <c r="B6" s="29" t="s">
        <v>26</v>
      </c>
      <c r="C6" s="29" t="s">
        <v>27</v>
      </c>
      <c r="D6" s="10" t="s">
        <v>924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30" customHeight="1">
      <c r="A7" s="30" t="s">
        <v>925</v>
      </c>
      <c r="B7" s="13">
        <v>1</v>
      </c>
      <c r="C7" s="14" t="s">
        <v>57</v>
      </c>
      <c r="D7" s="31" t="s">
        <v>926</v>
      </c>
      <c r="E7" s="25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25"/>
    </row>
    <row r="8" spans="1:18" ht="30" customHeight="1">
      <c r="A8" s="30" t="s">
        <v>927</v>
      </c>
      <c r="B8" s="13">
        <v>1.1000000000000001</v>
      </c>
      <c r="C8" s="14" t="s">
        <v>62</v>
      </c>
      <c r="D8" s="31" t="s">
        <v>926</v>
      </c>
      <c r="E8" s="25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25"/>
    </row>
    <row r="9" spans="1:18" ht="30" customHeight="1">
      <c r="A9" s="30" t="s">
        <v>928</v>
      </c>
      <c r="B9" s="13">
        <v>1.2</v>
      </c>
      <c r="C9" s="14" t="s">
        <v>66</v>
      </c>
      <c r="D9" s="31" t="s">
        <v>926</v>
      </c>
      <c r="E9" s="25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25"/>
    </row>
    <row r="10" spans="1:18" ht="30" customHeight="1">
      <c r="A10" s="30" t="s">
        <v>929</v>
      </c>
      <c r="B10" s="13" t="s">
        <v>70</v>
      </c>
      <c r="C10" s="14" t="s">
        <v>71</v>
      </c>
      <c r="D10" s="31" t="s">
        <v>926</v>
      </c>
      <c r="E10" s="25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25"/>
    </row>
    <row r="11" spans="1:18" ht="30" customHeight="1">
      <c r="A11" s="30" t="s">
        <v>930</v>
      </c>
      <c r="B11" s="13" t="s">
        <v>75</v>
      </c>
      <c r="C11" s="14" t="s">
        <v>76</v>
      </c>
      <c r="D11" s="31" t="s">
        <v>926</v>
      </c>
      <c r="E11" s="25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25"/>
    </row>
    <row r="12" spans="1:18" ht="30" customHeight="1">
      <c r="A12" s="30" t="s">
        <v>931</v>
      </c>
      <c r="B12" s="13" t="s">
        <v>80</v>
      </c>
      <c r="C12" s="14" t="s">
        <v>81</v>
      </c>
      <c r="D12" s="31" t="s">
        <v>926</v>
      </c>
      <c r="E12" s="25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25"/>
    </row>
    <row r="13" spans="1:18" ht="30" customHeight="1">
      <c r="A13" s="30" t="s">
        <v>932</v>
      </c>
      <c r="B13" s="13" t="s">
        <v>85</v>
      </c>
      <c r="C13" s="14" t="s">
        <v>86</v>
      </c>
      <c r="D13" s="31" t="s">
        <v>926</v>
      </c>
      <c r="E13" s="25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25"/>
    </row>
    <row r="14" spans="1:18" ht="30" customHeight="1">
      <c r="A14" s="30" t="s">
        <v>933</v>
      </c>
      <c r="B14" s="13" t="s">
        <v>90</v>
      </c>
      <c r="C14" s="14" t="s">
        <v>91</v>
      </c>
      <c r="D14" s="31" t="s">
        <v>926</v>
      </c>
      <c r="E14" s="25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25"/>
    </row>
    <row r="15" spans="1:18" ht="30" customHeight="1">
      <c r="A15" s="30" t="s">
        <v>934</v>
      </c>
      <c r="B15" s="13" t="s">
        <v>95</v>
      </c>
      <c r="C15" s="14" t="s">
        <v>96</v>
      </c>
      <c r="D15" s="31"/>
      <c r="E15" s="25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25"/>
    </row>
    <row r="16" spans="1:18" ht="30" customHeight="1">
      <c r="A16" s="30" t="s">
        <v>935</v>
      </c>
      <c r="B16" s="13">
        <v>1.3</v>
      </c>
      <c r="C16" s="14" t="s">
        <v>100</v>
      </c>
      <c r="D16" s="31"/>
      <c r="E16" s="25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25"/>
    </row>
    <row r="17" spans="1:18" ht="30" customHeight="1">
      <c r="A17" s="30" t="s">
        <v>936</v>
      </c>
      <c r="B17" s="13">
        <v>2</v>
      </c>
      <c r="C17" s="14" t="s">
        <v>104</v>
      </c>
      <c r="D17" s="31" t="s">
        <v>926</v>
      </c>
      <c r="E17" s="25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25"/>
    </row>
    <row r="18" spans="1:18" ht="30" customHeight="1">
      <c r="A18" s="30" t="s">
        <v>937</v>
      </c>
      <c r="B18" s="13">
        <v>2.1</v>
      </c>
      <c r="C18" s="14" t="s">
        <v>109</v>
      </c>
      <c r="D18" s="31" t="s">
        <v>926</v>
      </c>
      <c r="E18" s="25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25"/>
    </row>
    <row r="19" spans="1:18" ht="30" customHeight="1">
      <c r="A19" s="30" t="s">
        <v>938</v>
      </c>
      <c r="B19" s="13">
        <v>2.2000000000000002</v>
      </c>
      <c r="C19" s="14" t="s">
        <v>113</v>
      </c>
      <c r="D19" s="31" t="s">
        <v>926</v>
      </c>
      <c r="E19" s="25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25"/>
    </row>
    <row r="20" spans="1:18" ht="30" customHeight="1">
      <c r="A20" s="30" t="s">
        <v>939</v>
      </c>
      <c r="B20" s="13">
        <v>2.2999999999999998</v>
      </c>
      <c r="C20" s="14" t="s">
        <v>117</v>
      </c>
      <c r="D20" s="31"/>
      <c r="E20" s="25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25"/>
    </row>
    <row r="21" spans="1:18" ht="30" customHeight="1">
      <c r="A21" s="30" t="s">
        <v>940</v>
      </c>
      <c r="B21" s="13">
        <v>3</v>
      </c>
      <c r="C21" s="14" t="s">
        <v>121</v>
      </c>
      <c r="D21" s="31" t="s">
        <v>926</v>
      </c>
      <c r="E21" s="25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25"/>
    </row>
    <row r="22" spans="1:18" ht="30" customHeight="1">
      <c r="A22" s="30" t="s">
        <v>941</v>
      </c>
      <c r="B22" s="13">
        <v>3.1</v>
      </c>
      <c r="C22" s="14" t="s">
        <v>125</v>
      </c>
      <c r="D22" s="31"/>
      <c r="E22" s="25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25"/>
    </row>
    <row r="23" spans="1:18" ht="30" customHeight="1">
      <c r="A23" s="30" t="s">
        <v>942</v>
      </c>
      <c r="B23" s="13">
        <v>3.2</v>
      </c>
      <c r="C23" s="14" t="s">
        <v>129</v>
      </c>
      <c r="D23" s="31"/>
      <c r="E23" s="25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25"/>
    </row>
    <row r="24" spans="1:18" ht="30" customHeight="1">
      <c r="A24" s="30" t="s">
        <v>943</v>
      </c>
      <c r="B24" s="13">
        <v>3.3</v>
      </c>
      <c r="C24" s="14" t="s">
        <v>133</v>
      </c>
      <c r="D24" s="31"/>
      <c r="E24" s="25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25"/>
    </row>
    <row r="25" spans="1:18" ht="30" customHeight="1">
      <c r="A25" s="30" t="s">
        <v>944</v>
      </c>
      <c r="B25" s="13">
        <v>4</v>
      </c>
      <c r="C25" s="14" t="s">
        <v>137</v>
      </c>
      <c r="D25" s="31" t="s">
        <v>926</v>
      </c>
      <c r="E25" s="25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25"/>
    </row>
    <row r="26" spans="1:18" ht="30" customHeight="1">
      <c r="A26" s="30" t="s">
        <v>945</v>
      </c>
      <c r="B26" s="13">
        <v>5</v>
      </c>
      <c r="C26" s="14" t="s">
        <v>141</v>
      </c>
      <c r="D26" s="31" t="s">
        <v>926</v>
      </c>
      <c r="E26" s="25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25"/>
    </row>
    <row r="27" spans="1:18" ht="30" customHeight="1">
      <c r="A27" s="30" t="s">
        <v>946</v>
      </c>
      <c r="B27" s="13">
        <v>6</v>
      </c>
      <c r="C27" s="14" t="s">
        <v>145</v>
      </c>
      <c r="D27" s="31" t="s">
        <v>926</v>
      </c>
      <c r="E27" s="25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5"/>
    </row>
    <row r="28" spans="1:18" ht="30" customHeight="1">
      <c r="A28" s="30" t="s">
        <v>947</v>
      </c>
      <c r="B28" s="13">
        <v>7</v>
      </c>
      <c r="C28" s="14" t="s">
        <v>150</v>
      </c>
      <c r="D28" s="31" t="s">
        <v>926</v>
      </c>
      <c r="E28" s="25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25"/>
    </row>
    <row r="29" spans="1:18" ht="30" customHeight="1">
      <c r="A29" s="30" t="s">
        <v>948</v>
      </c>
      <c r="B29" s="13">
        <v>8</v>
      </c>
      <c r="C29" s="14" t="s">
        <v>154</v>
      </c>
      <c r="D29" s="31" t="s">
        <v>926</v>
      </c>
      <c r="E29" s="25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25"/>
    </row>
    <row r="30" spans="1:18" ht="30" customHeight="1">
      <c r="A30" s="30" t="s">
        <v>949</v>
      </c>
      <c r="B30" s="13">
        <v>9</v>
      </c>
      <c r="C30" s="14" t="s">
        <v>158</v>
      </c>
      <c r="D30" s="31" t="s">
        <v>926</v>
      </c>
      <c r="E30" s="25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25"/>
    </row>
    <row r="31" spans="1:18" ht="30" customHeight="1">
      <c r="A31" s="30" t="s">
        <v>950</v>
      </c>
      <c r="B31" s="13">
        <v>10</v>
      </c>
      <c r="C31" s="14" t="s">
        <v>162</v>
      </c>
      <c r="D31" s="31" t="s">
        <v>926</v>
      </c>
      <c r="E31" s="25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25"/>
    </row>
    <row r="32" spans="1:18" ht="30" customHeight="1">
      <c r="A32" s="30" t="s">
        <v>951</v>
      </c>
      <c r="B32" s="13">
        <v>11</v>
      </c>
      <c r="C32" s="14" t="s">
        <v>166</v>
      </c>
      <c r="D32" s="31" t="s">
        <v>926</v>
      </c>
      <c r="E32" s="25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25"/>
    </row>
    <row r="33" spans="1:18" ht="30" customHeight="1">
      <c r="A33" s="30" t="s">
        <v>952</v>
      </c>
      <c r="B33" s="13">
        <v>12</v>
      </c>
      <c r="C33" s="14" t="s">
        <v>170</v>
      </c>
      <c r="D33" s="31" t="s">
        <v>926</v>
      </c>
      <c r="E33" s="25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25"/>
    </row>
    <row r="34" spans="1:18" ht="30" customHeight="1">
      <c r="A34" s="30" t="s">
        <v>953</v>
      </c>
      <c r="B34" s="13">
        <v>13</v>
      </c>
      <c r="C34" s="14" t="s">
        <v>174</v>
      </c>
      <c r="D34" s="31" t="s">
        <v>926</v>
      </c>
      <c r="E34" s="25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25"/>
    </row>
    <row r="35" spans="1:18" ht="30" customHeight="1">
      <c r="A35" s="30" t="s">
        <v>954</v>
      </c>
      <c r="B35" s="13">
        <v>14</v>
      </c>
      <c r="C35" s="14" t="s">
        <v>178</v>
      </c>
      <c r="D35" s="31" t="s">
        <v>926</v>
      </c>
      <c r="E35" s="25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25"/>
    </row>
    <row r="36" spans="1:18" ht="30" customHeight="1">
      <c r="A36" s="30" t="s">
        <v>955</v>
      </c>
      <c r="B36" s="13">
        <v>15</v>
      </c>
      <c r="C36" s="14" t="s">
        <v>182</v>
      </c>
      <c r="D36" s="31"/>
      <c r="E36" s="25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25"/>
    </row>
    <row r="37" spans="1:18" ht="30" customHeight="1">
      <c r="A37" s="30" t="s">
        <v>956</v>
      </c>
      <c r="B37" s="13">
        <v>16</v>
      </c>
      <c r="C37" s="14" t="s">
        <v>186</v>
      </c>
      <c r="D37" s="31"/>
      <c r="E37" s="25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25"/>
    </row>
    <row r="38" spans="1:18" ht="30" customHeight="1">
      <c r="A38" s="30" t="s">
        <v>957</v>
      </c>
      <c r="B38" s="13">
        <v>17</v>
      </c>
      <c r="C38" s="14" t="s">
        <v>190</v>
      </c>
      <c r="D38" s="31" t="s">
        <v>926</v>
      </c>
      <c r="E38" s="25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25"/>
    </row>
    <row r="39" spans="1:18" ht="30" customHeight="1">
      <c r="A39" s="30" t="s">
        <v>958</v>
      </c>
      <c r="B39" s="13">
        <v>18</v>
      </c>
      <c r="C39" s="14" t="s">
        <v>194</v>
      </c>
      <c r="D39" s="31"/>
      <c r="E39" s="25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25"/>
    </row>
    <row r="40" spans="1:18" ht="30" customHeight="1">
      <c r="A40" s="30" t="s">
        <v>959</v>
      </c>
      <c r="B40" s="13">
        <v>18.100000000000001</v>
      </c>
      <c r="C40" s="14" t="s">
        <v>198</v>
      </c>
      <c r="D40" s="31"/>
      <c r="E40" s="25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25"/>
    </row>
    <row r="41" spans="1:18" ht="30" customHeight="1">
      <c r="A41" s="30" t="s">
        <v>960</v>
      </c>
      <c r="B41" s="13">
        <v>18.2</v>
      </c>
      <c r="C41" s="14" t="s">
        <v>202</v>
      </c>
      <c r="D41" s="31"/>
      <c r="E41" s="25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25"/>
    </row>
    <row r="42" spans="1:18" ht="30" customHeight="1">
      <c r="A42" s="30" t="s">
        <v>961</v>
      </c>
      <c r="B42" s="13">
        <v>18.3</v>
      </c>
      <c r="C42" s="14" t="s">
        <v>206</v>
      </c>
      <c r="D42" s="31"/>
      <c r="E42" s="25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25"/>
    </row>
    <row r="43" spans="1:18" ht="30" customHeight="1">
      <c r="A43" s="30" t="s">
        <v>962</v>
      </c>
      <c r="B43" s="13">
        <v>19</v>
      </c>
      <c r="C43" s="14" t="s">
        <v>210</v>
      </c>
      <c r="D43" s="31" t="s">
        <v>926</v>
      </c>
      <c r="E43" s="25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25"/>
    </row>
    <row r="44" spans="1:18" ht="30" customHeight="1">
      <c r="A44" s="30" t="s">
        <v>963</v>
      </c>
      <c r="B44" s="13">
        <v>20</v>
      </c>
      <c r="C44" s="14" t="s">
        <v>214</v>
      </c>
      <c r="D44" s="31" t="s">
        <v>926</v>
      </c>
      <c r="E44" s="25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25"/>
    </row>
    <row r="45" spans="1:18" ht="30" customHeight="1">
      <c r="A45" s="30" t="s">
        <v>964</v>
      </c>
      <c r="B45" s="13">
        <v>21</v>
      </c>
      <c r="C45" s="14" t="s">
        <v>218</v>
      </c>
      <c r="D45" s="31" t="s">
        <v>926</v>
      </c>
      <c r="E45" s="25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25"/>
    </row>
    <row r="46" spans="1:18" ht="30" customHeight="1">
      <c r="A46" s="30" t="s">
        <v>965</v>
      </c>
      <c r="B46" s="13">
        <v>22</v>
      </c>
      <c r="C46" s="14" t="s">
        <v>222</v>
      </c>
      <c r="D46" s="31"/>
      <c r="E46" s="25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25"/>
    </row>
    <row r="47" spans="1:18" ht="30" customHeight="1">
      <c r="A47" s="30" t="s">
        <v>966</v>
      </c>
      <c r="B47" s="13">
        <v>23</v>
      </c>
      <c r="C47" s="14" t="s">
        <v>226</v>
      </c>
      <c r="D47" s="31"/>
      <c r="E47" s="25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25"/>
    </row>
    <row r="48" spans="1:18" ht="30" customHeight="1">
      <c r="A48" s="30" t="s">
        <v>967</v>
      </c>
      <c r="B48" s="13">
        <v>24</v>
      </c>
      <c r="C48" s="14" t="s">
        <v>230</v>
      </c>
      <c r="D48" s="31" t="s">
        <v>926</v>
      </c>
      <c r="E48" s="25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25"/>
    </row>
    <row r="49" spans="1:18" ht="30" customHeight="1">
      <c r="A49" s="30" t="s">
        <v>968</v>
      </c>
      <c r="B49" s="13">
        <v>25</v>
      </c>
      <c r="C49" s="14" t="s">
        <v>234</v>
      </c>
      <c r="D49" s="31"/>
      <c r="E49" s="25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25"/>
    </row>
    <row r="50" spans="1:18" ht="30" customHeight="1">
      <c r="A50" s="30" t="s">
        <v>969</v>
      </c>
      <c r="B50" s="13">
        <v>26</v>
      </c>
      <c r="C50" s="14" t="s">
        <v>238</v>
      </c>
      <c r="D50" s="31"/>
      <c r="E50" s="25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25"/>
    </row>
    <row r="51" spans="1:18" ht="30" customHeight="1">
      <c r="A51" s="30" t="s">
        <v>970</v>
      </c>
      <c r="B51" s="13">
        <v>27</v>
      </c>
      <c r="C51" s="14" t="s">
        <v>242</v>
      </c>
      <c r="D51" s="31"/>
      <c r="E51" s="25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25"/>
    </row>
    <row r="52" spans="1:18" ht="30" customHeight="1">
      <c r="A52" s="30"/>
      <c r="B52" s="13">
        <v>28</v>
      </c>
      <c r="C52" s="14" t="s">
        <v>246</v>
      </c>
      <c r="D52" s="31"/>
      <c r="E52" s="25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25"/>
    </row>
    <row r="53" spans="1:18" ht="30" customHeight="1">
      <c r="A53" s="30"/>
      <c r="B53" s="13">
        <v>29</v>
      </c>
      <c r="C53" s="14" t="s">
        <v>250</v>
      </c>
      <c r="D53" s="31"/>
      <c r="E53" s="25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25"/>
    </row>
    <row r="54" spans="1:18" ht="30" customHeight="1">
      <c r="A54" s="30"/>
      <c r="B54" s="13">
        <v>30</v>
      </c>
      <c r="C54" s="14" t="s">
        <v>254</v>
      </c>
      <c r="D54" s="31"/>
      <c r="E54" s="25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25"/>
    </row>
    <row r="55" spans="1:18" ht="30" customHeight="1">
      <c r="A55" s="30"/>
      <c r="B55" s="13">
        <v>31</v>
      </c>
      <c r="C55" s="14" t="s">
        <v>258</v>
      </c>
      <c r="D55" s="31"/>
      <c r="E55" s="25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25"/>
    </row>
    <row r="56" spans="1:18" ht="30" customHeight="1">
      <c r="A56" s="30"/>
      <c r="B56" s="13">
        <v>32</v>
      </c>
      <c r="C56" s="14" t="s">
        <v>262</v>
      </c>
      <c r="D56" s="31"/>
      <c r="E56" s="25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25"/>
    </row>
    <row r="57" spans="1:18" ht="30" customHeight="1">
      <c r="A57" s="30"/>
      <c r="B57" s="13">
        <v>33</v>
      </c>
      <c r="C57" s="14" t="s">
        <v>266</v>
      </c>
      <c r="D57" s="31"/>
      <c r="E57" s="25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25"/>
    </row>
    <row r="58" spans="1:18" ht="30" customHeight="1">
      <c r="A58" s="30"/>
      <c r="B58" s="13">
        <v>34</v>
      </c>
      <c r="C58" s="14" t="s">
        <v>270</v>
      </c>
      <c r="D58" s="31" t="s">
        <v>926</v>
      </c>
      <c r="E58" s="25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25"/>
    </row>
    <row r="59" spans="1:18" ht="30" customHeight="1">
      <c r="A59" s="30" t="s">
        <v>971</v>
      </c>
      <c r="B59" s="13">
        <v>35</v>
      </c>
      <c r="C59" s="14" t="s">
        <v>274</v>
      </c>
      <c r="D59" s="31" t="s">
        <v>926</v>
      </c>
      <c r="E59" s="25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25"/>
    </row>
    <row r="60" spans="1:18" ht="30" customHeight="1">
      <c r="A60" s="30" t="s">
        <v>972</v>
      </c>
      <c r="B60" s="13">
        <v>36</v>
      </c>
      <c r="C60" s="14" t="s">
        <v>278</v>
      </c>
      <c r="D60" s="31" t="s">
        <v>926</v>
      </c>
      <c r="E60" s="25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25"/>
    </row>
    <row r="61" spans="1:18" ht="30" customHeight="1">
      <c r="A61" s="30" t="s">
        <v>973</v>
      </c>
      <c r="B61" s="13">
        <v>37</v>
      </c>
      <c r="C61" s="14" t="s">
        <v>282</v>
      </c>
      <c r="D61" s="31" t="s">
        <v>926</v>
      </c>
      <c r="E61" s="25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25"/>
    </row>
    <row r="62" spans="1:18" ht="30" customHeight="1">
      <c r="A62" s="30" t="s">
        <v>974</v>
      </c>
      <c r="B62" s="13">
        <v>38</v>
      </c>
      <c r="C62" s="14" t="s">
        <v>286</v>
      </c>
      <c r="D62" s="31" t="s">
        <v>926</v>
      </c>
      <c r="E62" s="25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25"/>
    </row>
    <row r="63" spans="1:18" ht="30" customHeight="1">
      <c r="A63" s="30" t="s">
        <v>975</v>
      </c>
      <c r="B63" s="13">
        <v>39</v>
      </c>
      <c r="C63" s="14" t="s">
        <v>290</v>
      </c>
      <c r="D63" s="31" t="s">
        <v>926</v>
      </c>
      <c r="E63" s="25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25"/>
    </row>
    <row r="64" spans="1:18" ht="30" customHeight="1">
      <c r="A64" s="30" t="s">
        <v>976</v>
      </c>
      <c r="B64" s="13">
        <v>40</v>
      </c>
      <c r="C64" s="14" t="s">
        <v>294</v>
      </c>
      <c r="D64" s="31" t="s">
        <v>926</v>
      </c>
      <c r="E64" s="25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25"/>
    </row>
    <row r="65" spans="1:18" ht="30" customHeight="1">
      <c r="A65" s="30" t="s">
        <v>976</v>
      </c>
      <c r="B65" s="13">
        <v>41</v>
      </c>
      <c r="C65" s="14" t="s">
        <v>298</v>
      </c>
      <c r="D65" s="31" t="s">
        <v>926</v>
      </c>
      <c r="E65" s="25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25"/>
    </row>
    <row r="66" spans="1:18" ht="30" customHeight="1">
      <c r="A66" s="30" t="s">
        <v>976</v>
      </c>
      <c r="B66" s="13">
        <v>41.1</v>
      </c>
      <c r="C66" s="14" t="s">
        <v>299</v>
      </c>
      <c r="D66" s="31" t="s">
        <v>926</v>
      </c>
      <c r="E66" s="25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25"/>
    </row>
    <row r="67" spans="1:18" ht="3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ht="3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3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ht="3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ht="3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spans="1:18" ht="3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3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3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3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3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ht="3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3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3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3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spans="1:18" ht="3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ht="3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3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ht="3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3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3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ht="3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</row>
    <row r="88" spans="1:18" ht="3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ht="3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</row>
    <row r="90" spans="1:18" ht="3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3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</row>
    <row r="92" spans="1:18" ht="3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</row>
    <row r="93" spans="1:18" ht="3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</row>
    <row r="94" spans="1:18" ht="3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3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1:18" ht="3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</row>
    <row r="97" spans="1:18" ht="3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</row>
    <row r="98" spans="1:18" ht="3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</row>
    <row r="99" spans="1:18" ht="3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ht="3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</row>
    <row r="101" spans="1:18" ht="3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3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</row>
    <row r="103" spans="1:18" ht="3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1:18" ht="3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</row>
    <row r="105" spans="1:18" ht="3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</row>
    <row r="106" spans="1:18" ht="3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</row>
    <row r="107" spans="1:18" ht="3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1:18" ht="3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</row>
    <row r="109" spans="1:18" ht="3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</sheetData>
  <mergeCells count="2">
    <mergeCell ref="B1:D1"/>
    <mergeCell ref="B2:D2"/>
  </mergeCells>
  <dataValidations count="1">
    <dataValidation type="list" allowBlank="1" showErrorMessage="1" sqref="D7:D66" xr:uid="{98F27DC6-FFCC-45E6-9D7A-CA35AD9E6D51}">
      <formula1>"Ministry of Health,Ministry of Labour,Other Ministries,National Statistical Office,National HRH Observatory,Professional association,Regulatory bodies,Academia,WHO databases,International organisations,OECD/Eurostat/WHO-EURO Questionnaire,Other databases"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38FC-2747-4B97-BF57-97FD01A64D78}">
  <sheetPr>
    <outlinePr summaryBelow="0" summaryRight="0"/>
    <pageSetUpPr autoPageBreaks="0"/>
  </sheetPr>
  <dimension ref="B1:J100"/>
  <sheetViews>
    <sheetView zoomScaleSheetLayoutView="100" workbookViewId="0">
      <pane ySplit="10" topLeftCell="A63" activePane="bottomLeft" state="frozen"/>
      <selection pane="bottomLeft"/>
    </sheetView>
  </sheetViews>
  <sheetFormatPr defaultRowHeight="15" customHeight="1"/>
  <cols>
    <col min="1" max="1" width="9.125" customWidth="1"/>
    <col min="2" max="2" width="10.875" customWidth="1"/>
    <col min="3" max="3" width="67" customWidth="1"/>
    <col min="4" max="4" width="13.125" customWidth="1"/>
    <col min="5" max="6" width="20.75" customWidth="1"/>
    <col min="7" max="7" width="5.625" customWidth="1"/>
    <col min="8" max="11" width="9.125" customWidth="1"/>
    <col min="12" max="256" width="15" customWidth="1"/>
  </cols>
  <sheetData>
    <row r="1" spans="2:10" ht="18.75" customHeight="1">
      <c r="B1" s="39" t="s">
        <v>1</v>
      </c>
      <c r="C1" s="40"/>
      <c r="D1" s="40"/>
      <c r="E1" s="40"/>
      <c r="F1" s="40"/>
    </row>
    <row r="2" spans="2:10" ht="26.25" customHeight="1">
      <c r="B2" s="39" t="s">
        <v>899</v>
      </c>
      <c r="C2" s="40"/>
      <c r="D2" s="40"/>
      <c r="E2" s="40"/>
      <c r="F2" s="40"/>
    </row>
    <row r="3" spans="2:10" ht="14.25" customHeight="1">
      <c r="B3" s="2"/>
      <c r="C3" s="2"/>
      <c r="D3" s="2"/>
      <c r="E3" s="2"/>
      <c r="F3" s="2"/>
    </row>
    <row r="4" spans="2:10" ht="14.25" customHeight="1">
      <c r="B4" s="5" t="s">
        <v>15</v>
      </c>
      <c r="C4" s="7" t="str">
        <f>Demographic!C4</f>
        <v>Kenya</v>
      </c>
      <c r="E4" s="5" t="s">
        <v>16</v>
      </c>
      <c r="F4" s="22" t="str">
        <f>Demographic!G4</f>
        <v>AFR</v>
      </c>
      <c r="I4" s="5" t="s">
        <v>17</v>
      </c>
      <c r="J4" s="7">
        <f>Demographic!Q4</f>
        <v>2023</v>
      </c>
    </row>
    <row r="5" spans="2:10" ht="14.25" customHeight="1">
      <c r="B5" s="23"/>
    </row>
    <row r="6" spans="2:10" ht="18" customHeight="1">
      <c r="B6" s="24"/>
      <c r="C6" s="18"/>
      <c r="D6" s="43"/>
      <c r="E6" s="40"/>
    </row>
    <row r="7" spans="2:10" ht="18" customHeight="1">
      <c r="B7" s="24"/>
      <c r="C7" s="18"/>
      <c r="D7" s="43"/>
      <c r="E7" s="40"/>
    </row>
    <row r="8" spans="2:10" ht="14.25" customHeight="1"/>
    <row r="9" spans="2:10" ht="14.25" customHeight="1">
      <c r="B9" s="34" t="s">
        <v>26</v>
      </c>
      <c r="C9" s="34" t="s">
        <v>27</v>
      </c>
      <c r="D9" s="34" t="s">
        <v>28</v>
      </c>
      <c r="E9" s="36" t="s">
        <v>977</v>
      </c>
      <c r="F9" s="38"/>
    </row>
    <row r="10" spans="2:10" ht="50.25" customHeight="1">
      <c r="B10" s="35"/>
      <c r="C10" s="35"/>
      <c r="D10" s="35"/>
      <c r="E10" s="11" t="s">
        <v>978</v>
      </c>
      <c r="F10" s="11" t="s">
        <v>979</v>
      </c>
    </row>
    <row r="11" spans="2:10" ht="18" customHeight="1">
      <c r="B11" s="13">
        <v>1</v>
      </c>
      <c r="C11" s="14" t="s">
        <v>57</v>
      </c>
      <c r="D11" s="15">
        <f>Demographic!D8</f>
        <v>4667</v>
      </c>
      <c r="E11" s="15">
        <f t="shared" ref="E11:F11" si="0">IF(COUNT(E12,E13,E20)&gt;0,SUM(E12,E13,E20),NA())</f>
        <v>4747</v>
      </c>
      <c r="F11" s="15" t="e">
        <f t="shared" si="0"/>
        <v>#N/A</v>
      </c>
    </row>
    <row r="12" spans="2:10" ht="18" customHeight="1">
      <c r="B12" s="13">
        <v>1.1000000000000001</v>
      </c>
      <c r="C12" s="14" t="s">
        <v>62</v>
      </c>
      <c r="D12" s="26">
        <f>Demographic!D9</f>
        <v>3015</v>
      </c>
      <c r="E12" s="13">
        <v>3076</v>
      </c>
      <c r="F12" s="13"/>
    </row>
    <row r="13" spans="2:10" ht="18" customHeight="1">
      <c r="B13" s="13">
        <v>1.2</v>
      </c>
      <c r="C13" s="14" t="s">
        <v>66</v>
      </c>
      <c r="D13" s="26">
        <f>Demographic!D10</f>
        <v>1652</v>
      </c>
      <c r="E13" s="13">
        <v>1671</v>
      </c>
      <c r="F13" s="13"/>
    </row>
    <row r="14" spans="2:10" ht="18" customHeight="1">
      <c r="B14" s="13" t="s">
        <v>70</v>
      </c>
      <c r="C14" s="14" t="s">
        <v>71</v>
      </c>
      <c r="D14" s="26">
        <f>Demographic!D11</f>
        <v>238</v>
      </c>
      <c r="E14" s="13">
        <v>238</v>
      </c>
      <c r="F14" s="13"/>
    </row>
    <row r="15" spans="2:10" ht="18" customHeight="1">
      <c r="B15" s="13" t="s">
        <v>75</v>
      </c>
      <c r="C15" s="14" t="s">
        <v>76</v>
      </c>
      <c r="D15" s="26">
        <f>Demographic!D12</f>
        <v>296</v>
      </c>
      <c r="E15" s="13">
        <v>296</v>
      </c>
      <c r="F15" s="13"/>
    </row>
    <row r="16" spans="2:10" ht="18" customHeight="1">
      <c r="B16" s="13" t="s">
        <v>80</v>
      </c>
      <c r="C16" s="14" t="s">
        <v>81</v>
      </c>
      <c r="D16" s="26">
        <f>Demographic!D13</f>
        <v>0</v>
      </c>
      <c r="E16" s="13"/>
      <c r="F16" s="13"/>
    </row>
    <row r="17" spans="2:6" ht="18" customHeight="1">
      <c r="B17" s="13" t="s">
        <v>85</v>
      </c>
      <c r="C17" s="14" t="s">
        <v>86</v>
      </c>
      <c r="D17" s="26">
        <f>Demographic!D14</f>
        <v>403</v>
      </c>
      <c r="E17" s="13">
        <v>403</v>
      </c>
      <c r="F17" s="13"/>
    </row>
    <row r="18" spans="2:6" ht="18" customHeight="1">
      <c r="B18" s="13" t="s">
        <v>90</v>
      </c>
      <c r="C18" s="14" t="s">
        <v>91</v>
      </c>
      <c r="D18" s="26">
        <f>Demographic!D15</f>
        <v>479</v>
      </c>
      <c r="E18" s="13">
        <v>479</v>
      </c>
      <c r="F18" s="13"/>
    </row>
    <row r="19" spans="2:6" ht="18" customHeight="1">
      <c r="B19" s="13" t="s">
        <v>95</v>
      </c>
      <c r="C19" s="14" t="s">
        <v>96</v>
      </c>
      <c r="D19" s="26">
        <f>Demographic!D16</f>
        <v>129</v>
      </c>
      <c r="E19" s="13">
        <v>129</v>
      </c>
      <c r="F19" s="13"/>
    </row>
    <row r="20" spans="2:6" ht="18" customHeight="1">
      <c r="B20" s="13">
        <v>1.3</v>
      </c>
      <c r="C20" s="14" t="s">
        <v>100</v>
      </c>
      <c r="D20" s="26">
        <f>Demographic!D17</f>
        <v>0</v>
      </c>
      <c r="E20" s="13"/>
      <c r="F20" s="13"/>
    </row>
    <row r="21" spans="2:6" ht="18" customHeight="1">
      <c r="B21" s="13">
        <v>2</v>
      </c>
      <c r="C21" s="14" t="s">
        <v>104</v>
      </c>
      <c r="D21" s="15">
        <f>Demographic!D18</f>
        <v>34552</v>
      </c>
      <c r="E21" s="15">
        <f t="shared" ref="E21:F21" si="1">IF(COUNT(E22,E23,E24)&gt;0,SUM(E22,E23,E24),NA())</f>
        <v>34127</v>
      </c>
      <c r="F21" s="15" t="e">
        <f t="shared" si="1"/>
        <v>#N/A</v>
      </c>
    </row>
    <row r="22" spans="2:6" ht="18" customHeight="1">
      <c r="B22" s="13">
        <v>2.1</v>
      </c>
      <c r="C22" s="14" t="s">
        <v>109</v>
      </c>
      <c r="D22" s="26">
        <f>Demographic!D19</f>
        <v>33542</v>
      </c>
      <c r="E22" s="13">
        <v>34127</v>
      </c>
      <c r="F22" s="13"/>
    </row>
    <row r="23" spans="2:6" ht="18" customHeight="1">
      <c r="B23" s="13">
        <v>2.2000000000000002</v>
      </c>
      <c r="C23" s="14" t="s">
        <v>113</v>
      </c>
      <c r="D23" s="26">
        <f>Demographic!D20</f>
        <v>1010</v>
      </c>
      <c r="E23" s="13"/>
      <c r="F23" s="13"/>
    </row>
    <row r="24" spans="2:6" ht="18" customHeight="1">
      <c r="B24" s="13">
        <v>2.2999999999999998</v>
      </c>
      <c r="C24" s="14" t="s">
        <v>117</v>
      </c>
      <c r="D24" s="26">
        <f>Demographic!D21</f>
        <v>0</v>
      </c>
      <c r="E24" s="13"/>
      <c r="F24" s="13"/>
    </row>
    <row r="25" spans="2:6" ht="18" customHeight="1">
      <c r="B25" s="13">
        <v>3</v>
      </c>
      <c r="C25" s="14" t="s">
        <v>121</v>
      </c>
      <c r="D25" s="15">
        <f>Demographic!D22</f>
        <v>277</v>
      </c>
      <c r="E25" s="15">
        <f t="shared" ref="E25:F25" si="2">IF(COUNT(E26,E27,E28)&gt;0,SUM(E26,E27,E28),NA())</f>
        <v>277</v>
      </c>
      <c r="F25" s="15" t="e">
        <f t="shared" si="2"/>
        <v>#N/A</v>
      </c>
    </row>
    <row r="26" spans="2:6" ht="18" customHeight="1">
      <c r="B26" s="13">
        <v>3.1</v>
      </c>
      <c r="C26" s="14" t="s">
        <v>125</v>
      </c>
      <c r="D26" s="26">
        <f>Demographic!D23</f>
        <v>102</v>
      </c>
      <c r="E26" s="13">
        <v>102</v>
      </c>
      <c r="F26" s="13"/>
    </row>
    <row r="27" spans="2:6" ht="18" customHeight="1">
      <c r="B27" s="13">
        <v>3.2</v>
      </c>
      <c r="C27" s="14" t="s">
        <v>129</v>
      </c>
      <c r="D27" s="26">
        <f>Demographic!D24</f>
        <v>175</v>
      </c>
      <c r="E27" s="13">
        <v>175</v>
      </c>
      <c r="F27" s="13"/>
    </row>
    <row r="28" spans="2:6" ht="18" customHeight="1">
      <c r="B28" s="13">
        <v>3.3</v>
      </c>
      <c r="C28" s="14" t="s">
        <v>133</v>
      </c>
      <c r="D28" s="26">
        <f>Demographic!D25</f>
        <v>0</v>
      </c>
      <c r="E28" s="13"/>
      <c r="F28" s="13"/>
    </row>
    <row r="29" spans="2:6" ht="18" customHeight="1">
      <c r="B29" s="13">
        <v>4</v>
      </c>
      <c r="C29" s="14" t="s">
        <v>137</v>
      </c>
      <c r="D29" s="26">
        <f>Demographic!D26</f>
        <v>372</v>
      </c>
      <c r="E29" s="13">
        <v>374</v>
      </c>
      <c r="F29" s="13"/>
    </row>
    <row r="30" spans="2:6" ht="18" customHeight="1">
      <c r="B30" s="13">
        <v>5</v>
      </c>
      <c r="C30" s="14" t="s">
        <v>141</v>
      </c>
      <c r="D30" s="26">
        <f>Demographic!D27</f>
        <v>382</v>
      </c>
      <c r="E30" s="13">
        <v>389</v>
      </c>
      <c r="F30" s="13"/>
    </row>
    <row r="31" spans="2:6" ht="18" customHeight="1">
      <c r="B31" s="13">
        <v>6</v>
      </c>
      <c r="C31" s="14" t="s">
        <v>145</v>
      </c>
      <c r="D31" s="26">
        <f>Demographic!D28</f>
        <v>0</v>
      </c>
      <c r="E31" s="13"/>
      <c r="F31" s="13"/>
    </row>
    <row r="32" spans="2:6" ht="18" customHeight="1">
      <c r="B32" s="13">
        <v>7</v>
      </c>
      <c r="C32" s="14" t="s">
        <v>150</v>
      </c>
      <c r="D32" s="26">
        <f>Demographic!D29</f>
        <v>1186</v>
      </c>
      <c r="E32" s="13">
        <v>1206</v>
      </c>
      <c r="F32" s="13"/>
    </row>
    <row r="33" spans="2:6" ht="18" customHeight="1">
      <c r="B33" s="13">
        <v>8</v>
      </c>
      <c r="C33" s="14" t="s">
        <v>154</v>
      </c>
      <c r="D33" s="26">
        <f>Demographic!D30</f>
        <v>1929</v>
      </c>
      <c r="E33" s="13">
        <v>1977</v>
      </c>
      <c r="F33" s="13"/>
    </row>
    <row r="34" spans="2:6" ht="18" customHeight="1">
      <c r="B34" s="13">
        <v>9</v>
      </c>
      <c r="C34" s="14" t="s">
        <v>158</v>
      </c>
      <c r="D34" s="26">
        <f>Demographic!D31</f>
        <v>7984</v>
      </c>
      <c r="E34" s="13">
        <v>8180</v>
      </c>
      <c r="F34" s="13"/>
    </row>
    <row r="35" spans="2:6" ht="18" customHeight="1">
      <c r="B35" s="13">
        <v>10</v>
      </c>
      <c r="C35" s="14" t="s">
        <v>162</v>
      </c>
      <c r="D35" s="26">
        <f>Demographic!D32</f>
        <v>0</v>
      </c>
      <c r="E35" s="13">
        <v>5442</v>
      </c>
      <c r="F35" s="13"/>
    </row>
    <row r="36" spans="2:6" ht="18" customHeight="1">
      <c r="B36" s="13">
        <v>11</v>
      </c>
      <c r="C36" s="14" t="s">
        <v>166</v>
      </c>
      <c r="D36" s="26">
        <f>Demographic!D33</f>
        <v>836</v>
      </c>
      <c r="E36" s="13">
        <v>848</v>
      </c>
      <c r="F36" s="13"/>
    </row>
    <row r="37" spans="2:6" ht="18" customHeight="1">
      <c r="B37" s="13">
        <v>12</v>
      </c>
      <c r="C37" s="14" t="s">
        <v>170</v>
      </c>
      <c r="D37" s="26">
        <f>Demographic!D34</f>
        <v>5310</v>
      </c>
      <c r="E37" s="13"/>
      <c r="F37" s="13"/>
    </row>
    <row r="38" spans="2:6" ht="18" customHeight="1">
      <c r="B38" s="13">
        <v>13</v>
      </c>
      <c r="C38" s="14" t="s">
        <v>174</v>
      </c>
      <c r="D38" s="26">
        <f>Demographic!D35</f>
        <v>5055</v>
      </c>
      <c r="E38" s="13">
        <v>5144</v>
      </c>
      <c r="F38" s="13"/>
    </row>
    <row r="39" spans="2:6" ht="18" customHeight="1">
      <c r="B39" s="13">
        <v>14</v>
      </c>
      <c r="C39" s="14" t="s">
        <v>178</v>
      </c>
      <c r="D39" s="26">
        <f>Demographic!D36</f>
        <v>0</v>
      </c>
      <c r="E39" s="13"/>
      <c r="F39" s="13"/>
    </row>
    <row r="40" spans="2:6" ht="18" customHeight="1">
      <c r="B40" s="13">
        <v>15</v>
      </c>
      <c r="C40" s="14" t="s">
        <v>182</v>
      </c>
      <c r="D40" s="26">
        <f>Demographic!D37</f>
        <v>0</v>
      </c>
      <c r="E40" s="13"/>
      <c r="F40" s="13"/>
    </row>
    <row r="41" spans="2:6" ht="18" customHeight="1">
      <c r="B41" s="13">
        <v>16</v>
      </c>
      <c r="C41" s="14" t="s">
        <v>186</v>
      </c>
      <c r="D41" s="26">
        <f>Demographic!D38</f>
        <v>0</v>
      </c>
      <c r="E41" s="13"/>
      <c r="F41" s="13"/>
    </row>
    <row r="42" spans="2:6" ht="18" customHeight="1">
      <c r="B42" s="13">
        <v>17</v>
      </c>
      <c r="C42" s="14" t="s">
        <v>190</v>
      </c>
      <c r="D42" s="26">
        <f>Demographic!D39</f>
        <v>6344</v>
      </c>
      <c r="E42" s="13">
        <v>6344</v>
      </c>
      <c r="F42" s="13"/>
    </row>
    <row r="43" spans="2:6" ht="18" customHeight="1">
      <c r="B43" s="13">
        <v>18</v>
      </c>
      <c r="C43" s="14" t="s">
        <v>194</v>
      </c>
      <c r="D43" s="26">
        <f>Demographic!D40</f>
        <v>0</v>
      </c>
      <c r="E43" s="13"/>
      <c r="F43" s="13"/>
    </row>
    <row r="44" spans="2:6" ht="18" customHeight="1">
      <c r="B44" s="13">
        <v>18.100000000000001</v>
      </c>
      <c r="C44" s="14" t="s">
        <v>198</v>
      </c>
      <c r="D44" s="26">
        <f>Demographic!D41</f>
        <v>0</v>
      </c>
      <c r="E44" s="13"/>
      <c r="F44" s="13"/>
    </row>
    <row r="45" spans="2:6" ht="18" customHeight="1">
      <c r="B45" s="13">
        <v>18.2</v>
      </c>
      <c r="C45" s="14" t="s">
        <v>202</v>
      </c>
      <c r="D45" s="26">
        <f>Demographic!D42</f>
        <v>0</v>
      </c>
      <c r="E45" s="13"/>
      <c r="F45" s="13"/>
    </row>
    <row r="46" spans="2:6" ht="18" customHeight="1">
      <c r="B46" s="13">
        <v>18.3</v>
      </c>
      <c r="C46" s="14" t="s">
        <v>206</v>
      </c>
      <c r="D46" s="26">
        <f>Demographic!D43</f>
        <v>0</v>
      </c>
      <c r="E46" s="13"/>
      <c r="F46" s="13"/>
    </row>
    <row r="47" spans="2:6" ht="18" customHeight="1">
      <c r="B47" s="13">
        <v>19</v>
      </c>
      <c r="C47" s="14" t="s">
        <v>210</v>
      </c>
      <c r="D47" s="26">
        <f>Demographic!D44</f>
        <v>705</v>
      </c>
      <c r="E47" s="13">
        <v>722</v>
      </c>
      <c r="F47" s="13"/>
    </row>
    <row r="48" spans="2:6" ht="18" customHeight="1">
      <c r="B48" s="13">
        <v>20</v>
      </c>
      <c r="C48" s="14" t="s">
        <v>214</v>
      </c>
      <c r="D48" s="26">
        <f>Demographic!D45</f>
        <v>68</v>
      </c>
      <c r="E48" s="13">
        <v>68</v>
      </c>
      <c r="F48" s="13"/>
    </row>
    <row r="49" spans="2:6" ht="18" customHeight="1">
      <c r="B49" s="13">
        <v>21</v>
      </c>
      <c r="C49" s="14" t="s">
        <v>218</v>
      </c>
      <c r="D49" s="26">
        <f>Demographic!D46</f>
        <v>0</v>
      </c>
      <c r="E49" s="13">
        <v>2179</v>
      </c>
      <c r="F49" s="13"/>
    </row>
    <row r="50" spans="2:6" ht="18" customHeight="1">
      <c r="B50" s="13">
        <v>22</v>
      </c>
      <c r="C50" s="14" t="s">
        <v>222</v>
      </c>
      <c r="D50" s="26">
        <f>Demographic!D47</f>
        <v>2146</v>
      </c>
      <c r="E50" s="13"/>
      <c r="F50" s="13"/>
    </row>
    <row r="51" spans="2:6" ht="18" customHeight="1">
      <c r="B51" s="13">
        <v>23</v>
      </c>
      <c r="C51" s="14" t="s">
        <v>226</v>
      </c>
      <c r="D51" s="26">
        <f>Demographic!D48</f>
        <v>0</v>
      </c>
      <c r="E51" s="13"/>
      <c r="F51" s="13"/>
    </row>
    <row r="52" spans="2:6" ht="18" customHeight="1">
      <c r="B52" s="13">
        <v>24</v>
      </c>
      <c r="C52" s="14" t="s">
        <v>230</v>
      </c>
      <c r="D52" s="26">
        <f>Demographic!D49</f>
        <v>18</v>
      </c>
      <c r="E52" s="13">
        <v>18</v>
      </c>
      <c r="F52" s="13"/>
    </row>
    <row r="53" spans="2:6" ht="18" customHeight="1">
      <c r="B53" s="13">
        <v>25</v>
      </c>
      <c r="C53" s="14" t="s">
        <v>234</v>
      </c>
      <c r="D53" s="26">
        <f>Demographic!D50</f>
        <v>0</v>
      </c>
      <c r="E53" s="13"/>
      <c r="F53" s="13"/>
    </row>
    <row r="54" spans="2:6" ht="18" customHeight="1">
      <c r="B54" s="13">
        <v>26</v>
      </c>
      <c r="C54" s="14" t="s">
        <v>238</v>
      </c>
      <c r="D54" s="26">
        <f>Demographic!D51</f>
        <v>224</v>
      </c>
      <c r="E54" s="13">
        <v>224</v>
      </c>
      <c r="F54" s="13"/>
    </row>
    <row r="55" spans="2:6" ht="18" customHeight="1">
      <c r="B55" s="13">
        <v>27</v>
      </c>
      <c r="C55" s="14" t="s">
        <v>242</v>
      </c>
      <c r="D55" s="26">
        <f>Demographic!D52</f>
        <v>0</v>
      </c>
      <c r="E55" s="13"/>
      <c r="F55" s="13"/>
    </row>
    <row r="56" spans="2:6" ht="18" customHeight="1">
      <c r="B56" s="13">
        <v>28</v>
      </c>
      <c r="C56" s="14" t="s">
        <v>246</v>
      </c>
      <c r="D56" s="26">
        <f>Demographic!D53</f>
        <v>0</v>
      </c>
      <c r="E56" s="13"/>
      <c r="F56" s="13"/>
    </row>
    <row r="57" spans="2:6" ht="18" customHeight="1">
      <c r="B57" s="13">
        <v>29</v>
      </c>
      <c r="C57" s="14" t="s">
        <v>250</v>
      </c>
      <c r="D57" s="26">
        <f>Demographic!D54</f>
        <v>0</v>
      </c>
      <c r="E57" s="13"/>
      <c r="F57" s="13"/>
    </row>
    <row r="58" spans="2:6" ht="18" customHeight="1">
      <c r="B58" s="13">
        <v>30</v>
      </c>
      <c r="C58" s="14" t="s">
        <v>254</v>
      </c>
      <c r="D58" s="26">
        <f>Demographic!D55</f>
        <v>0</v>
      </c>
      <c r="E58" s="13"/>
      <c r="F58" s="13"/>
    </row>
    <row r="59" spans="2:6" ht="18" customHeight="1">
      <c r="B59" s="13">
        <v>31</v>
      </c>
      <c r="C59" s="14" t="s">
        <v>258</v>
      </c>
      <c r="D59" s="26">
        <f>Demographic!D56</f>
        <v>0</v>
      </c>
      <c r="E59" s="13"/>
      <c r="F59" s="13"/>
    </row>
    <row r="60" spans="2:6" ht="18" customHeight="1">
      <c r="B60" s="13">
        <v>32</v>
      </c>
      <c r="C60" s="14" t="s">
        <v>262</v>
      </c>
      <c r="D60" s="26">
        <f>Demographic!D57</f>
        <v>0</v>
      </c>
      <c r="E60" s="13"/>
      <c r="F60" s="13"/>
    </row>
    <row r="61" spans="2:6" ht="18" customHeight="1">
      <c r="B61" s="13">
        <v>33</v>
      </c>
      <c r="C61" s="14" t="s">
        <v>266</v>
      </c>
      <c r="D61" s="26">
        <f>Demographic!D58</f>
        <v>0</v>
      </c>
      <c r="E61" s="13"/>
      <c r="F61" s="13"/>
    </row>
    <row r="62" spans="2:6" ht="18" customHeight="1">
      <c r="B62" s="13">
        <v>34</v>
      </c>
      <c r="C62" s="14" t="s">
        <v>270</v>
      </c>
      <c r="D62" s="26">
        <f>Demographic!D59</f>
        <v>0</v>
      </c>
      <c r="E62" s="13"/>
      <c r="F62" s="13"/>
    </row>
    <row r="63" spans="2:6" ht="18" customHeight="1">
      <c r="B63" s="13">
        <v>35</v>
      </c>
      <c r="C63" s="14" t="s">
        <v>274</v>
      </c>
      <c r="D63" s="26">
        <f>Demographic!D60</f>
        <v>2630</v>
      </c>
      <c r="E63" s="13">
        <v>2630</v>
      </c>
      <c r="F63" s="13"/>
    </row>
    <row r="64" spans="2:6" ht="18" customHeight="1">
      <c r="B64" s="13">
        <v>36</v>
      </c>
      <c r="C64" s="14" t="s">
        <v>278</v>
      </c>
      <c r="D64" s="26">
        <f>Demographic!D61</f>
        <v>0</v>
      </c>
      <c r="E64" s="13"/>
      <c r="F64" s="13"/>
    </row>
    <row r="65" spans="2:6" ht="18" customHeight="1">
      <c r="B65" s="13">
        <v>37</v>
      </c>
      <c r="C65" s="14" t="s">
        <v>282</v>
      </c>
      <c r="D65" s="26">
        <f>Demographic!D62</f>
        <v>2254</v>
      </c>
      <c r="E65" s="13">
        <v>2299</v>
      </c>
      <c r="F65" s="13"/>
    </row>
    <row r="66" spans="2:6" ht="18" customHeight="1">
      <c r="B66" s="13">
        <v>38</v>
      </c>
      <c r="C66" s="14" t="s">
        <v>286</v>
      </c>
      <c r="D66" s="26">
        <f>Demographic!D63</f>
        <v>0</v>
      </c>
      <c r="E66" s="13"/>
      <c r="F66" s="13"/>
    </row>
    <row r="67" spans="2:6" ht="18" customHeight="1">
      <c r="B67" s="13">
        <v>39</v>
      </c>
      <c r="C67" s="14" t="s">
        <v>290</v>
      </c>
      <c r="D67" s="26">
        <f>Demographic!D64</f>
        <v>0</v>
      </c>
      <c r="E67" s="13"/>
      <c r="F67" s="13"/>
    </row>
    <row r="68" spans="2:6" ht="18" customHeight="1">
      <c r="B68" s="13">
        <v>40</v>
      </c>
      <c r="C68" s="14" t="s">
        <v>294</v>
      </c>
      <c r="D68" s="26">
        <f>Demographic!D65</f>
        <v>0</v>
      </c>
      <c r="E68" s="13"/>
      <c r="F68" s="13"/>
    </row>
    <row r="69" spans="2:6" ht="18" customHeight="1">
      <c r="B69" s="13">
        <v>41</v>
      </c>
      <c r="C69" s="14" t="s">
        <v>298</v>
      </c>
      <c r="D69" s="17">
        <f>Demographic!D66</f>
        <v>0</v>
      </c>
      <c r="E69" s="13"/>
      <c r="F69" s="13"/>
    </row>
    <row r="70" spans="2:6" ht="18" customHeight="1">
      <c r="B70" s="13">
        <v>41.1</v>
      </c>
      <c r="C70" s="14" t="s">
        <v>299</v>
      </c>
      <c r="D70" s="17">
        <f>Demographic!D67</f>
        <v>61</v>
      </c>
      <c r="E70" s="13">
        <v>61</v>
      </c>
      <c r="F70" s="13"/>
    </row>
    <row r="71" spans="2:6" ht="14.25" customHeight="1"/>
    <row r="72" spans="2:6" ht="14.25" customHeight="1"/>
    <row r="73" spans="2:6" ht="14.25" customHeight="1"/>
    <row r="74" spans="2:6" ht="14.25" customHeight="1"/>
    <row r="75" spans="2:6" ht="14.25" customHeight="1"/>
    <row r="76" spans="2:6" ht="14.25" customHeight="1"/>
    <row r="77" spans="2:6" ht="14.25" customHeight="1"/>
    <row r="78" spans="2:6" ht="14.25" customHeight="1"/>
    <row r="79" spans="2:6" ht="14.25" customHeight="1"/>
    <row r="80" spans="2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B1:F1"/>
    <mergeCell ref="B2:F2"/>
    <mergeCell ref="E9:F9"/>
    <mergeCell ref="D6:E6"/>
    <mergeCell ref="D7:E7"/>
    <mergeCell ref="B9:B10"/>
    <mergeCell ref="C9:C10"/>
    <mergeCell ref="D9:D10"/>
  </mergeCells>
  <dataValidations count="4">
    <dataValidation type="decimal" operator="greaterThanOrEqual" allowBlank="1" showErrorMessage="1" sqref="D6:D7" xr:uid="{749EEDE1-F7D2-4991-9575-C7A7EC1C617E}">
      <formula1>0</formula1>
    </dataValidation>
    <dataValidation type="decimal" operator="greaterThanOrEqual" allowBlank="1" showErrorMessage="1" sqref="E12:F20" xr:uid="{94C38EB2-FFD6-46B5-9F4A-983D654A43E3}">
      <formula1>0</formula1>
    </dataValidation>
    <dataValidation type="decimal" operator="greaterThanOrEqual" allowBlank="1" showErrorMessage="1" sqref="E22:F24" xr:uid="{231611AF-06C3-4745-94E6-7BC861E61720}">
      <formula1>0</formula1>
    </dataValidation>
    <dataValidation type="decimal" operator="greaterThanOrEqual" allowBlank="1" showErrorMessage="1" sqref="E26:F70" xr:uid="{0DB9C9B7-5270-4132-B1D3-2B7D014B1884}">
      <formula1>0</formula1>
    </dataValidation>
  </dataValidation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71B1-EA1C-452F-81C9-517000A3BB27}">
  <sheetPr>
    <outlinePr summaryBelow="0" summaryRight="0"/>
    <pageSetUpPr autoPageBreaks="0"/>
  </sheetPr>
  <dimension ref="A1:K267"/>
  <sheetViews>
    <sheetView zoomScaleSheetLayoutView="100" workbookViewId="0">
      <pane ySplit="2" topLeftCell="A3" activePane="bottomLeft" state="frozen"/>
      <selection pane="bottomLeft" activeCell="B4" sqref="B4"/>
    </sheetView>
  </sheetViews>
  <sheetFormatPr defaultRowHeight="15" customHeight="1"/>
  <cols>
    <col min="1" max="11" width="12.625" customWidth="1"/>
    <col min="12" max="256" width="15" customWidth="1"/>
  </cols>
  <sheetData>
    <row r="1" spans="1:11" ht="15" customHeight="1">
      <c r="A1" s="45" t="str">
        <f>_uc8uSqVVt4n</f>
        <v>NHWA Module 1 (2023)</v>
      </c>
      <c r="B1" s="46"/>
      <c r="C1" s="46"/>
      <c r="D1" s="46"/>
      <c r="E1" s="46"/>
      <c r="F1" s="33"/>
      <c r="G1" s="33"/>
      <c r="H1" s="33"/>
      <c r="I1" s="33"/>
      <c r="J1" s="33"/>
      <c r="K1" s="33"/>
    </row>
    <row r="2" spans="1:11" ht="15" customHeight="1">
      <c r="A2" s="33" t="s">
        <v>980</v>
      </c>
      <c r="B2" s="33" t="s">
        <v>981</v>
      </c>
      <c r="C2" s="33" t="s">
        <v>982</v>
      </c>
      <c r="D2" s="33" t="s">
        <v>983</v>
      </c>
      <c r="E2" s="33" t="s">
        <v>984</v>
      </c>
      <c r="F2" s="33"/>
      <c r="G2" s="33"/>
      <c r="H2" s="33"/>
      <c r="I2" s="33"/>
      <c r="J2" s="33"/>
      <c r="K2" s="33"/>
    </row>
    <row r="3" spans="1:11" ht="15" customHeight="1">
      <c r="A3" s="33" t="str">
        <f>_oofyLUJJ6Vy</f>
        <v>Afghanistan</v>
      </c>
      <c r="B3" s="33">
        <v>2019</v>
      </c>
      <c r="C3" s="33" t="str">
        <f>_Xr12mI7VPn3</f>
        <v>default</v>
      </c>
      <c r="D3" s="33" t="str">
        <f>_true</f>
        <v>☒</v>
      </c>
      <c r="E3" s="33" t="str">
        <f>_true</f>
        <v>☒</v>
      </c>
      <c r="F3" s="33"/>
      <c r="G3" s="33"/>
      <c r="H3" s="33"/>
      <c r="I3" s="33"/>
      <c r="J3" s="33"/>
      <c r="K3" s="33"/>
    </row>
    <row r="4" spans="1:11" ht="15" customHeight="1">
      <c r="A4" s="33" t="str">
        <f>_VGOzFKfSazN</f>
        <v>Albania</v>
      </c>
      <c r="B4" s="33"/>
      <c r="C4" s="33"/>
      <c r="D4" s="33" t="str">
        <f>_false</f>
        <v>☐</v>
      </c>
      <c r="E4" s="33"/>
      <c r="F4" s="33"/>
      <c r="G4" s="33"/>
      <c r="H4" s="33"/>
      <c r="I4" s="33"/>
      <c r="J4" s="33"/>
      <c r="K4" s="33"/>
    </row>
    <row r="5" spans="1:11" ht="15" customHeight="1">
      <c r="A5" s="33" t="str">
        <f>_mNa42CHbkO7</f>
        <v>Algeria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15" customHeight="1">
      <c r="A6" s="33" t="str">
        <f>_VYVKdqiXo4b</f>
        <v>American Samoa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ht="15" customHeight="1">
      <c r="A7" s="33" t="str">
        <f>_Rmy6DbwekE1</f>
        <v>Andorra</v>
      </c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15" customHeight="1">
      <c r="A8" s="33" t="str">
        <f>_jFOZHDZpjPL</f>
        <v>Angola</v>
      </c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1" ht="15" customHeight="1">
      <c r="A9" s="33" t="str">
        <f>_f4ZFD2aswys</f>
        <v>Anguilla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15" customHeight="1">
      <c r="A10" s="33" t="str">
        <f>_pfhvgmllA9M</f>
        <v>Antigua and Barbuda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15" customHeight="1">
      <c r="A11" s="33" t="str">
        <f>_AZdPnw0b1lm</f>
        <v>Argentina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15" customHeight="1">
      <c r="A12" s="33" t="str">
        <f>_cWrL45je7mw</f>
        <v>Armenia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15" customHeight="1">
      <c r="A13" s="33" t="str">
        <f>_lKZR6UK0afN</f>
        <v>Aruba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15" customHeight="1">
      <c r="A14" s="33" t="str">
        <f>_LbWpsX1FJcC</f>
        <v>Australia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15" customHeight="1">
      <c r="A15" s="33" t="str">
        <f>_e9IoKRAkYLO</f>
        <v>Austria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15" customHeight="1">
      <c r="A16" s="33" t="str">
        <f>_ST86paYjRHP</f>
        <v>Azerbaijan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15" customHeight="1">
      <c r="A17" s="33" t="str">
        <f>_VbbSe7wgS9s</f>
        <v>Bahamas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5" customHeight="1">
      <c r="A18" s="33" t="str">
        <f>_T7tKHiW1Db1</f>
        <v>Bahrain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ht="15" customHeight="1">
      <c r="A19" s="33" t="str">
        <f>_dNLjKwsVjod</f>
        <v>Bangladesh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5" customHeight="1">
      <c r="A20" s="33" t="str">
        <f>_iNT35p3jsEM</f>
        <v>Barbados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15" customHeight="1">
      <c r="A21" s="33" t="str">
        <f>_Tr4i6jeDDqj</f>
        <v>Belarus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ht="15" customHeight="1">
      <c r="A22" s="33" t="str">
        <f>_KwgjnBBpe5b</f>
        <v>Belgium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1" ht="15" customHeight="1">
      <c r="A23" s="33" t="str">
        <f>_Nrnay4JA8Ga</f>
        <v>Belize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5" customHeight="1">
      <c r="A24" s="33" t="str">
        <f>_DzAOqCf0ots</f>
        <v>Benin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11" ht="15" customHeight="1">
      <c r="A25" s="33" t="str">
        <f>_ZzoDfdWIt6z</f>
        <v>Bermuda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</row>
    <row r="26" spans="1:11" ht="15" customHeight="1">
      <c r="A26" s="33" t="str">
        <f>_JQ5qF3mRCMe</f>
        <v>Bhutan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5" customHeight="1">
      <c r="A27" s="33" t="str">
        <f>_cpmmPDsQ3uG</f>
        <v>Bolivia (Plurinational State of)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1" ht="15.75">
      <c r="A28" s="33" t="str">
        <f>_wyKC2eWRH3y</f>
        <v>Bonaire, Saint Eustatius and Saba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11" ht="15.75">
      <c r="A29" s="33" t="str">
        <f>_n8iofJiiX4T</f>
        <v>Bosnia and Herzegovina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</row>
    <row r="30" spans="1:11" ht="15.75">
      <c r="A30" s="33" t="str">
        <f>_c82mDnhUQly</f>
        <v>Botswana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5.75">
      <c r="A31" s="33" t="str">
        <f>_sg5v6c9tCZ3</f>
        <v>Bouvet Island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15.75">
      <c r="A32" s="33" t="str">
        <f>_dpcvWc01CeN</f>
        <v>Brazil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5.75">
      <c r="A33" s="33" t="str">
        <f>_PFAtPR87fHs</f>
        <v>British Indian Ocean Territory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ht="15.75">
      <c r="A34" s="33" t="str">
        <f>_u7H4MyT2Y0A</f>
        <v>British Virgin Islands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ht="15.75">
      <c r="A35" s="33" t="str">
        <f>_MJEntShoQVK</f>
        <v>Brunei Darussalam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15.75">
      <c r="A36" s="33" t="str">
        <f>_AjeCGGb8H76</f>
        <v>Bulgaria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1" ht="15.75">
      <c r="A37" s="33" t="str">
        <f>_hmZE3mVAZFf</f>
        <v>Burkina Faso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15.75">
      <c r="A38" s="33" t="str">
        <f>_Xz7rnovuiOx</f>
        <v>Burundi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spans="1:11" ht="15.75">
      <c r="A39" s="33" t="str">
        <f>_bGWaeVBrOcc</f>
        <v>Cabo Verde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15.75">
      <c r="A40" s="33" t="str">
        <f>_dscgTvwyCw8</f>
        <v>Cambodia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 ht="15.75">
      <c r="A41" s="33" t="str">
        <f>_VPesUmegQpP</f>
        <v>Cameroon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 ht="15.75">
      <c r="A42" s="33" t="str">
        <f>_AJBfDthkySs</f>
        <v>Canada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1" ht="15.75">
      <c r="A43" s="33" t="str">
        <f>_u3GOCB1Hu01</f>
        <v>Cayman Islands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1" ht="15.75">
      <c r="A44" s="33" t="str">
        <f>_ZcrjvJaYQb7</f>
        <v>Central African Republic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 spans="1:11" ht="15.75">
      <c r="A45" s="33" t="str">
        <f>_tV0rWhHr9cj</f>
        <v>Chad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1" ht="15.75">
      <c r="A46" s="33" t="str">
        <f>_zFInPJBZVbN</f>
        <v>Chile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1" ht="15.75">
      <c r="A47" s="33" t="str">
        <f>_q23bFLr2E5D</f>
        <v>China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5.75">
      <c r="A48" s="33" t="str">
        <f>_myv7amOYTHn</f>
        <v>China, Hong Kong SAR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 ht="15.75">
      <c r="A49" s="33" t="str">
        <f>_y582ESg0Vjo</f>
        <v>China, Macao SAR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 spans="1:11" ht="15.75">
      <c r="A50" s="33" t="str">
        <f>_lGN2n7pZ6Ua</f>
        <v>China, Province of Taiwan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 ht="15.75">
      <c r="A51" s="33" t="str">
        <f>_a0Tb0vzKk1m</f>
        <v>China: Province of Taiwan only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15.75">
      <c r="A52" s="33" t="str">
        <f>_XjHXb0aFH5w</f>
        <v>Christmas Island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 spans="1:11" ht="15.75">
      <c r="A53" s="33" t="str">
        <f>_AFIorEPU00q</f>
        <v>Cocos (Keeling) Islands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ht="15.75">
      <c r="A54" s="33" t="str">
        <f>_jXQq22U4Y2e</f>
        <v>Colombia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spans="1:11" ht="15.75">
      <c r="A55" s="33" t="str">
        <f>_RTdjvXHJdnH</f>
        <v>Comoros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 spans="1:11" ht="15.75">
      <c r="A56" s="33" t="str">
        <f>_shRXArPWh8H</f>
        <v>Congo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 spans="1:11" ht="15.75">
      <c r="A57" s="33" t="str">
        <f>_TldYkeCwb5r</f>
        <v>Cook Islands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 spans="1:11" ht="15.75">
      <c r="A58" s="33" t="str">
        <f>_pbH6bmcioGw</f>
        <v>Costa Rica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spans="1:11" ht="15.75">
      <c r="A59" s="33" t="str">
        <f>_lbMrRSBsXh3</f>
        <v>Croatia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 spans="1:11" ht="15.75">
      <c r="A60" s="33" t="str">
        <f>_Zdl3ad7PayF</f>
        <v>Cuba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 spans="1:11" ht="15.75">
      <c r="A61" s="33" t="str">
        <f>_QSpLidCdqMU</f>
        <v>Curaçao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spans="1:11" ht="15.75">
      <c r="A62" s="33" t="str">
        <f>_Mb9IYOFZYCv</f>
        <v>Cyprus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 spans="1:11" ht="15.75">
      <c r="A63" s="33" t="str">
        <f>_XKKI1hhyFxk</f>
        <v>Czechia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 ht="15.75">
      <c r="A64" s="33" t="str">
        <f>_NhuW760cOQG</f>
        <v>Czechoslovakia, Former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 spans="1:11" ht="15.75">
      <c r="A65" s="33" t="str">
        <f>_WXGcnQWJ0Qd</f>
        <v>Côte d'Ivoire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ht="15.75">
      <c r="A66" s="33" t="str">
        <f>_OFXJXWnOG0R</f>
        <v>Democratic People's Republic of Korea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 spans="1:11" ht="15.75">
      <c r="A67" s="33" t="str">
        <f>_EDHO4qOyY88</f>
        <v>Democratic Republic of the Congo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ht="15.75">
      <c r="A68" s="33" t="str">
        <f>_CCl7hAqlrmE</f>
        <v>Denmark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 spans="1:11" ht="15.75">
      <c r="A69" s="33" t="str">
        <f>_Yg9QkNQk9p7</f>
        <v>Djibouti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 spans="1:11" ht="15.75">
      <c r="A70" s="33" t="str">
        <f>_s1mzBU7YOaZ</f>
        <v>Dominica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spans="1:11" ht="15.75">
      <c r="A71" s="33" t="str">
        <f>_PpjdOoVUc7k</f>
        <v>Dominican Republic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 spans="1:11" ht="15.75">
      <c r="A72" s="33" t="str">
        <f>_LAPR4Iu2NVS</f>
        <v>Ecuador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spans="1:11" ht="15.75">
      <c r="A73" s="33" t="str">
        <f>_JIr15Xt3EQn</f>
        <v>Egypt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 spans="1:11" ht="15.75">
      <c r="A74" s="33" t="str">
        <f>_Mk7P920hkBa</f>
        <v>El Salvador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 spans="1:11" ht="15.75">
      <c r="A75" s="33" t="str">
        <f>_Fi5lLVwe1Th</f>
        <v>Equatorial Guinea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 spans="1:11" ht="15.75">
      <c r="A76" s="33" t="str">
        <f>_vnbnnSZXGTv</f>
        <v>Eritrea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 spans="1:11" ht="15.75">
      <c r="A77" s="33" t="str">
        <f>_XeWqwCw9G5s</f>
        <v>Estonia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 spans="1:11" ht="15.75">
      <c r="A78" s="33" t="str">
        <f>_G3thRWUQAX9</f>
        <v>Eswatini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 spans="1:11" ht="15.75">
      <c r="A79" s="33" t="str">
        <f>_zEYrsiNUGIo</f>
        <v>Ethiopia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 spans="1:11" ht="15.75">
      <c r="A80" s="33" t="str">
        <f>_PRrdILmQQb3</f>
        <v>Falkland Islands (Malvinas)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 spans="1:11" ht="15.75">
      <c r="A81" s="33" t="str">
        <f>_ngUSWwX0Oby</f>
        <v>Faroe Islands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 spans="1:11" ht="15.75">
      <c r="A82" s="33" t="str">
        <f>_sSIYRwB1r74</f>
        <v>Fiji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 spans="1:11" ht="15.75">
      <c r="A83" s="33" t="str">
        <f>_bnQX2QIuIY9</f>
        <v>Finland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1" ht="15.75">
      <c r="A84" s="33" t="str">
        <f>_VnTycSnraEY</f>
        <v>France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 spans="1:11" ht="15.75">
      <c r="A85" s="33" t="str">
        <f>_UJVEh0g7qOo</f>
        <v>French Guiana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spans="1:11" ht="15.75">
      <c r="A86" s="33" t="str">
        <f>_QLERXr2o7IE</f>
        <v>French Polynesia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 spans="1:11" ht="15.75">
      <c r="A87" s="33" t="str">
        <f>_BLpPqpMtgQY</f>
        <v>French Southern Territories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 spans="1:11" ht="15.75">
      <c r="A88" s="33" t="str">
        <f>_EGLpIMSAWhx</f>
        <v>Gabon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 ht="15.75">
      <c r="A89" s="33" t="str">
        <f>_z51rgcc5R8V</f>
        <v>Gambia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 spans="1:11" ht="15.75">
      <c r="A90" s="33" t="str">
        <f>_fg8TSIHSGHX</f>
        <v>Georgia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spans="1:11" ht="15.75">
      <c r="A91" s="33" t="str">
        <f>_Ri2tb7LBVtP</f>
        <v>Germany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 spans="1:11" ht="15.75">
      <c r="A92" s="33" t="str">
        <f>_hgGOTFYZxMO</f>
        <v>Germany, Former Democratic Republic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15.75">
      <c r="A93" s="33" t="str">
        <f>_E9G2aQpCs1A</f>
        <v>Germany, Former Federal Republic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 spans="1:11" ht="15.75">
      <c r="A94" s="33" t="str">
        <f>_Fq9qs6Kn6wN</f>
        <v>Germany, West Berlin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 spans="1:11" ht="15.75">
      <c r="A95" s="33" t="str">
        <f>_WC5rU5fLMzY</f>
        <v>Ghana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spans="1:11" ht="15.75">
      <c r="A96" s="33" t="str">
        <f>_BVzmce6DVeS</f>
        <v>Gibraltar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 spans="1:11" ht="15.75">
      <c r="A97" s="33" t="str">
        <f>_eyvitcZL4ex</f>
        <v>Greece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spans="1:11" ht="15.75">
      <c r="A98" s="33" t="str">
        <f>_IZy3ESdFnp5</f>
        <v>Greenland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1" ht="15.75">
      <c r="A99" s="33" t="str">
        <f>_gg9DH7dvdeD</f>
        <v>Grenada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 spans="1:11" ht="15.75">
      <c r="A100" s="33" t="str">
        <f>_cRWrIpjzvVl</f>
        <v>Guadeloupe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 spans="1:11" ht="15.75">
      <c r="A101" s="33" t="str">
        <f>_q9u7nkNkuGy</f>
        <v>Guam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 ht="15.75">
      <c r="A102" s="33" t="str">
        <f>_bhkJDAiqVKX</f>
        <v>Guatemala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 spans="1:11" ht="15.75">
      <c r="A103" s="33" t="str">
        <f>_NUkOvK4bnj2</f>
        <v>Guernsey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 ht="15.75">
      <c r="A104" s="33" t="str">
        <f>_quQpOfBIDFC</f>
        <v>Guinea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 spans="1:11" ht="15.75">
      <c r="A105" s="33" t="str">
        <f>_G9o5ad4oJJX</f>
        <v>Guinea-Bissau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 spans="1:11" ht="15.75">
      <c r="A106" s="33" t="str">
        <f>_AUStREIxT4s</f>
        <v>Guyana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 spans="1:11" ht="15.75">
      <c r="A107" s="33" t="str">
        <f>_ipe4pT2TW7G</f>
        <v>Haiti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 ht="15.75">
      <c r="A108" s="33" t="str">
        <f>_apVWLKfARpb</f>
        <v>Heard Island and McDonald Islands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 spans="1:11" ht="15.75">
      <c r="A109" s="33" t="str">
        <f>_jZOt27rWre8</f>
        <v>Holy See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 ht="15.75">
      <c r="A110" s="33" t="str">
        <f>_mDSuyD9lOM5</f>
        <v>Honduras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 ht="15.75">
      <c r="A111" s="33" t="str">
        <f>_g49fuSiB623</f>
        <v>Hungary</v>
      </c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 spans="1:11" ht="15.75">
      <c r="A112" s="33" t="str">
        <f>_Bc3mYAhlY1a</f>
        <v>Iceland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 spans="1:11" ht="15.75">
      <c r="A113" s="33" t="str">
        <f>_WApLDd37Yj2</f>
        <v>India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 spans="1:11" ht="15.75">
      <c r="A114" s="33" t="str">
        <f>_jVqoXv7rFns</f>
        <v>Indonesia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 spans="1:11" ht="15.75">
      <c r="A115" s="33" t="str">
        <f>_SsAjVE1S87E</f>
        <v>Iran (Islamic Republic of)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 spans="1:11" ht="15.75">
      <c r="A116" s="33" t="str">
        <f>_fHXW26zg2U6</f>
        <v>Iraq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 spans="1:11" ht="15.75">
      <c r="A117" s="33" t="str">
        <f>_uvTw0Kus5KZ</f>
        <v>Ireland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 spans="1:11" ht="15.75">
      <c r="A118" s="33" t="str">
        <f>_ehNfKt5LpG9</f>
        <v>Isle of Man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 spans="1:11" ht="15.75">
      <c r="A119" s="33" t="str">
        <f>_XebDUbuPqVx</f>
        <v>Israel</v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 spans="1:11" ht="15.75">
      <c r="A120" s="33" t="str">
        <f>_ElwEWppmGgv</f>
        <v>Italy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 spans="1:11" ht="15.75">
      <c r="A121" s="33" t="str">
        <f>_x6DVvicRjYC</f>
        <v>Jamaica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 spans="1:11" ht="15.75">
      <c r="A122" s="33" t="str">
        <f>_JI5lagoUJR4</f>
        <v>Japan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ht="15.75">
      <c r="A123" s="33" t="str">
        <f>_XJscL6IuHpd</f>
        <v>Jersey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 spans="1:11" ht="15.75">
      <c r="A124" s="33" t="str">
        <f>_GWQBgBHdbbp</f>
        <v>Jordan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ht="15.75">
      <c r="A125" s="33" t="str">
        <f>_ibGsqmiVkoU</f>
        <v>Kazakhstan</v>
      </c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 spans="1:11" ht="15.75">
      <c r="A126" s="33" t="str">
        <f>_HfVjCurKxh2</f>
        <v>Kenya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 spans="1:11" ht="15.75">
      <c r="A127" s="33" t="str">
        <f>_Nlv8oKkoAwp</f>
        <v>Kiribati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 spans="1:11" ht="15.75">
      <c r="A128" s="33" t="str">
        <f>_tnTRnfd2aVs</f>
        <v>Kuwait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 spans="1:11" ht="15.75">
      <c r="A129" s="33" t="str">
        <f>_tDFavWinSwr</f>
        <v>Kyrgyzstan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 spans="1:11" ht="15.75">
      <c r="A130" s="33" t="str">
        <f>_bvyjEfI0d2V</f>
        <v>Lao People's Democratic Republic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 ht="15.75">
      <c r="A131" s="33" t="str">
        <f>_gxi9jcBYyrL</f>
        <v>Latvia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 spans="1:11" ht="15.75">
      <c r="A132" s="33" t="str">
        <f>_ACalScnrl2I</f>
        <v>Lebanon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 spans="1:11" ht="15.75">
      <c r="A133" s="33" t="str">
        <f>_D4JnxOsqwE4</f>
        <v>Lesotho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 spans="1:11" ht="15.75">
      <c r="A134" s="33" t="str">
        <f>_JEHwU064LAj</f>
        <v>Liberia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 spans="1:11" ht="15.75">
      <c r="A135" s="33" t="str">
        <f>_zaluKz5Llai</f>
        <v>Libya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 spans="1:11" ht="15.75">
      <c r="A136" s="33" t="str">
        <f>_gMz0MxjZcEt</f>
        <v>Liechtenstein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 spans="1:11" ht="15.75">
      <c r="A137" s="33" t="str">
        <f>_T1irZBQ9gNW</f>
        <v>Lithuania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 spans="1:11" ht="15.75">
      <c r="A138" s="33" t="str">
        <f>_mmJUi0PpvGi</f>
        <v>Luxembourg</v>
      </c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 spans="1:11" ht="15.75">
      <c r="A139" s="33" t="str">
        <f>_bcy4159FETR</f>
        <v>Madagascar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 spans="1:11" ht="15.75">
      <c r="A140" s="33" t="str">
        <f>_G037PAPU5dO</f>
        <v>Malawi</v>
      </c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 spans="1:11" ht="15.75">
      <c r="A141" s="33" t="str">
        <f>_BmTVMvJHVBO</f>
        <v>Malaysia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 spans="1:11" ht="15.75">
      <c r="A142" s="33" t="str">
        <f>_FOJUXD6f6lB</f>
        <v>Maldives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 spans="1:11" ht="15.75">
      <c r="A143" s="33" t="str">
        <f>_EubjsxqlA4d</f>
        <v>Mali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 spans="1:11" ht="15.75">
      <c r="A144" s="33" t="str">
        <f>_TIhakAVsQwM</f>
        <v>Malta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 spans="1:11" ht="15.75">
      <c r="A145" s="33" t="str">
        <f>_Ajnw1b8m6eL</f>
        <v>Marshall Islands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 spans="1:11" ht="15.75">
      <c r="A146" s="33" t="str">
        <f>_v2B5AtYQV8H</f>
        <v>Martinique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 spans="1:11" ht="15.75">
      <c r="A147" s="33" t="str">
        <f>_XYpsN5j30R9</f>
        <v>Mauritania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 spans="1:11" ht="15.75">
      <c r="A148" s="33" t="str">
        <f>_EB4aSZN0eQr</f>
        <v>Mauritius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 ht="15.75">
      <c r="A149" s="33" t="str">
        <f>_Bon3xyAAWKf</f>
        <v>Mayotte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 spans="1:11" ht="15.75">
      <c r="A150" s="33" t="str">
        <f>_KAUSOoBq5Ft</f>
        <v>Mexico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 spans="1:11" ht="15.75">
      <c r="A151" s="33" t="str">
        <f>_lnvESj20mWZ</f>
        <v>Micronesia (Federated States of)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 spans="1:11" ht="15.75">
      <c r="A152" s="33" t="str">
        <f>_cZ8823L0fLJ</f>
        <v>Monaco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ht="15.75">
      <c r="A153" s="33" t="str">
        <f>_IZSm5iPKkDg</f>
        <v>Mongolia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 ht="15.75">
      <c r="A154" s="33" t="str">
        <f>_JX7HJfPfbog</f>
        <v>Montenegro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 spans="1:11" ht="15.75">
      <c r="A155" s="33" t="str">
        <f>_B4iWc3gcDcn</f>
        <v>Montserrat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 spans="1:11" ht="15.75">
      <c r="A156" s="33" t="str">
        <f>_WuQvgvXKamv</f>
        <v>Morocco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 spans="1:11" ht="15.75">
      <c r="A157" s="33" t="str">
        <f>_Gan3VYicAWe</f>
        <v>Mozambique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 ht="15.75">
      <c r="A158" s="33" t="str">
        <f>_YOL13ptz4ef</f>
        <v>Myanmar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 spans="1:11" ht="15.75">
      <c r="A159" s="33" t="str">
        <f>_rtLnlu4GUI2</f>
        <v>Namibia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 spans="1:11" ht="15.75">
      <c r="A160" s="33" t="str">
        <f>_Pz0LCggcqES</f>
        <v>Nauru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 spans="1:11" ht="15.75">
      <c r="A161" s="33" t="str">
        <f>_pZZriU4sY0l</f>
        <v>Nepal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 ht="15.75">
      <c r="A162" s="33" t="str">
        <f>_rEQqufy2KNi</f>
        <v>Netherlands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 spans="1:11" ht="15.75">
      <c r="A163" s="33" t="str">
        <f>_COs48yLdDvg</f>
        <v>Netherlands Antilles</v>
      </c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 spans="1:11" ht="15.75">
      <c r="A164" s="33" t="str">
        <f>_jMGr96nGwHN</f>
        <v>New Caledonia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1:11" ht="15.75">
      <c r="A165" s="33" t="str">
        <f>_hG1CNbw8wSF</f>
        <v>New Zealand</v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1:11" ht="15.75">
      <c r="A166" s="33" t="str">
        <f>_wnuoeS9sVZR</f>
        <v>Nicaragua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ht="15.75">
      <c r="A167" s="33" t="str">
        <f>_O0hWoXlHhIS</f>
        <v>Niger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 spans="1:11" ht="15.75">
      <c r="A168" s="33" t="str">
        <f>_I3NxIqG7bD4</f>
        <v>Nigeria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 spans="1:11" ht="15.75">
      <c r="A169" s="33" t="str">
        <f>_KqaTbKanCG3</f>
        <v>Niue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 spans="1:11" ht="15.75">
      <c r="A170" s="33" t="str">
        <f>_O7BGyJhV2Tc</f>
        <v>Norfolk Island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 spans="1:11" ht="15.75">
      <c r="A171" s="33" t="str">
        <f>_cfBaKMnsXd1</f>
        <v>North Macedonia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 spans="1:11" ht="15.75">
      <c r="A172" s="33" t="str">
        <f>_vPoFz9J1v6Y</f>
        <v>Northern Mariana Islands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 spans="1:11" ht="15.75">
      <c r="A173" s="33" t="str">
        <f>_oy494aJtjTB</f>
        <v>Norway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 spans="1:11" ht="15.75">
      <c r="A174" s="33" t="str">
        <f>_G8FCnT37gyb</f>
        <v>Oman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 spans="1:11" ht="15.75">
      <c r="A175" s="33" t="str">
        <f>_yzAMOdV0Pmr</f>
        <v>Pakistan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 ht="15.75">
      <c r="A176" s="33" t="str">
        <f>_iFaKKDtb7nf</f>
        <v>Palau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 spans="1:11" ht="15.75">
      <c r="A177" s="33" t="str">
        <f>_wUBWZEHJm6Q</f>
        <v>Panama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 spans="1:11" ht="15.75">
      <c r="A178" s="33" t="str">
        <f>_Zav7juzGmEo</f>
        <v>Papua New Guinea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 spans="1:11" ht="15.75">
      <c r="A179" s="33" t="str">
        <f>_Wpzccx0vjIP</f>
        <v>Paraguay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 spans="1:11" ht="15.75">
      <c r="A180" s="33" t="str">
        <f>_vkXlj7ZPkGi</f>
        <v>Peru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 spans="1:11" ht="15.75">
      <c r="A181" s="33" t="str">
        <f>_QkOClVdLto1</f>
        <v>Philippines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 spans="1:11" ht="15.75">
      <c r="A182" s="33" t="str">
        <f>_fHaKXfcKthe</f>
        <v>Pitcairn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 ht="15.75">
      <c r="A183" s="33" t="str">
        <f>_wMTP4GblKr8</f>
        <v>Poland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 spans="1:11" ht="15.75">
      <c r="A184" s="33" t="str">
        <f>_PevCwH17M73</f>
        <v>Portugal</v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 spans="1:11" ht="15.75">
      <c r="A185" s="33" t="str">
        <f>_w3IJVQhc8Rm</f>
        <v>Puerto Rico</v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 spans="1:11" ht="15.75">
      <c r="A186" s="33" t="str">
        <f>_jCtFxm8aADJ</f>
        <v>Qatar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 spans="1:11" ht="15.75">
      <c r="A187" s="33" t="str">
        <f>_IbGbsybdeou</f>
        <v>Republic of Korea</v>
      </c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 spans="1:11" ht="15.75">
      <c r="A188" s="33" t="str">
        <f>_yBqy4nxuOCA</f>
        <v>Republic of Moldova</v>
      </c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 spans="1:11" ht="15.75">
      <c r="A189" s="33" t="str">
        <f>_ZRxKEGQmkWI</f>
        <v>Rodrigues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 spans="1:11" ht="15.75">
      <c r="A190" s="33" t="str">
        <f>_N9i1v07Ro0E</f>
        <v>Romania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 spans="1:11" ht="15.75">
      <c r="A191" s="33" t="str">
        <f>_i3v8r9XNls2</f>
        <v>Russian Federation</v>
      </c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 spans="1:11" ht="15.75">
      <c r="A192" s="33" t="str">
        <f>_UlQiEogy3wG</f>
        <v>Rwanda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 spans="1:11" ht="15.75">
      <c r="A193" s="33" t="str">
        <f>_LTLHCOHyyWS</f>
        <v>Ryu Kyu Islands</v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 spans="1:11" ht="15.75">
      <c r="A194" s="33" t="str">
        <f>_VwqhqUCaMgk</f>
        <v>Réunion</v>
      </c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 spans="1:11" ht="15.75">
      <c r="A195" s="33" t="str">
        <f>_GPyOOoIby8R</f>
        <v>Saint Barthélemy</v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 spans="1:11" ht="15.75">
      <c r="A196" s="33" t="str">
        <f>_aZ7Bm5L90rn</f>
        <v>Saint Helena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 spans="1:11" ht="15.75">
      <c r="A197" s="33" t="str">
        <f>_BlC8wOVHBlb</f>
        <v>Saint Kitts and Nevis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 ht="15.75">
      <c r="A198" s="33" t="str">
        <f>_RyAd6laKg3U</f>
        <v>Saint Lucia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 spans="1:11" ht="15.75">
      <c r="A199" s="33" t="str">
        <f>_tSBEjAHKj9V</f>
        <v>Saint Martin (French part)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 spans="1:11" ht="15.75">
      <c r="A200" s="33" t="str">
        <f>_HYEuE8zV74t</f>
        <v>Saint Pierre and Miquelon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 spans="1:11" ht="15.75">
      <c r="A201" s="33" t="str">
        <f>_ZgsdoEiTlLq</f>
        <v>Saint Vincent and the Grenadines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 spans="1:11" ht="15.75">
      <c r="A202" s="33" t="str">
        <f>_hpXoMVtJpT3</f>
        <v>Samoa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 spans="1:11" ht="15.75">
      <c r="A203" s="33" t="str">
        <f>_SAsS1Kwc4iW</f>
        <v>San Marino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 spans="1:11" ht="15.75">
      <c r="A204" s="33" t="str">
        <f>_FNduj2N3e8s</f>
        <v>Sao Tome and Principe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 spans="1:11" ht="15.75">
      <c r="A205" s="33" t="str">
        <f>_xB6nQN5Wtpg</f>
        <v>Saudi Arabia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 spans="1:11" ht="15.75">
      <c r="A206" s="33" t="str">
        <f>_wj7iV08dvFq</f>
        <v>Senegal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 spans="1:11" ht="15.75">
      <c r="A207" s="33" t="str">
        <f>_oroMC4mMzMq</f>
        <v>Serbia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 spans="1:11" ht="15.75">
      <c r="A208" s="33" t="str">
        <f>_HizhPCC5Ps5</f>
        <v>Serbia and Montenegro, Former</v>
      </c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 spans="1:11" ht="15.75">
      <c r="A209" s="33" t="str">
        <f>_wimH12ukPK5</f>
        <v>Seychelles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 spans="1:11" ht="15.75">
      <c r="A210" s="33" t="str">
        <f>_qbqrFLCJewu</f>
        <v>Sierra Leone</v>
      </c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 spans="1:11" ht="15.75">
      <c r="A211" s="33" t="str">
        <f>_rb6V38jgfFc</f>
        <v>Singapore</v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 spans="1:11" ht="15.75">
      <c r="A212" s="33" t="str">
        <f>_cCgL3J7Lsgn</f>
        <v>Sint Maarten (Dutch part)</v>
      </c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 spans="1:11" ht="15.75">
      <c r="A213" s="33" t="str">
        <f>_RDiXMdNXg16</f>
        <v>Slovakia</v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 spans="1:11" ht="15.75">
      <c r="A214" s="33" t="str">
        <f>_PY4aKgi30fr</f>
        <v>Slovenia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 spans="1:11" ht="15.75">
      <c r="A215" s="33" t="str">
        <f>_FUieyovDec8</f>
        <v>Solomon Islands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 spans="1:11" ht="15.75">
      <c r="A216" s="33" t="str">
        <f>_oWNF4d3PK8C</f>
        <v>Somalia</v>
      </c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 spans="1:11" ht="15.75">
      <c r="A217" s="33" t="str">
        <f>_lVPoUAKCdmU</f>
        <v>South Africa</v>
      </c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 spans="1:11" ht="15.75">
      <c r="A218" s="33" t="str">
        <f>_z5ouOuycTPO</f>
        <v>South Georgia and the South Sandwich Islands</v>
      </c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 spans="1:11" ht="15.75">
      <c r="A219" s="33" t="str">
        <f>_mhWSEv79IJW</f>
        <v>South Sudan</v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 spans="1:11" ht="15.75">
      <c r="A220" s="33" t="str">
        <f>_DVnpk4xiXGJ</f>
        <v>Spain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 spans="1:11" ht="15.75">
      <c r="A221" s="33" t="str">
        <f>_er7MPiN3tdH</f>
        <v>Sri Lanka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 spans="1:11" ht="15.75">
      <c r="A222" s="33" t="str">
        <f>_QqAzWHtJ8VC</f>
        <v>Sudan</v>
      </c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 spans="1:11" ht="15.75">
      <c r="A223" s="33" t="str">
        <f>_IjLnDADGraQ</f>
        <v>Sudan (former)</v>
      </c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 spans="1:11" ht="15.75">
      <c r="A224" s="33" t="str">
        <f>_jkyBvNzcTLl</f>
        <v>Suriname</v>
      </c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 spans="1:11" ht="15.75">
      <c r="A225" s="33" t="str">
        <f>_TWyMjVaaxmT</f>
        <v>Svalbard and Jan Mayen</v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 spans="1:11" ht="15.75">
      <c r="A226" s="33" t="str">
        <f>_IFAb1JUZ0Fz</f>
        <v>Sweden</v>
      </c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 spans="1:11" ht="15.75">
      <c r="A227" s="33" t="str">
        <f>_q2HqXV5OO3z</f>
        <v>Switzerland</v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 ht="15.75">
      <c r="A228" s="33" t="str">
        <f>_HDN85xUGB65</f>
        <v>Syrian Arab Republic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 spans="1:11" ht="15.75">
      <c r="A229" s="33" t="str">
        <f>_xb2ezJcUoSR</f>
        <v>Tajikistan</v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 spans="1:11" ht="15.75">
      <c r="A230" s="33" t="str">
        <f>_vboedbUs1As</f>
        <v>Thailand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 spans="1:11" ht="15.75">
      <c r="A231" s="33" t="str">
        <f>_pGLy2Zj2lVg</f>
        <v>The former state union Serbia and Montenegro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 spans="1:11" ht="15.75">
      <c r="A232" s="33" t="str">
        <f>_cJU4qStc9QT</f>
        <v>Timor-Leste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 spans="1:11" ht="15.75">
      <c r="A233" s="33" t="str">
        <f>_WtcZBCTspgM</f>
        <v>Togo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 spans="1:11" ht="15.75">
      <c r="A234" s="33" t="str">
        <f>_VMqDEughMuP</f>
        <v>Tokelau</v>
      </c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 spans="1:11" ht="15.75">
      <c r="A235" s="33" t="str">
        <f>_zYQqFxQw5jj</f>
        <v>Tonga</v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 spans="1:11" ht="15.75">
      <c r="A236" s="33" t="str">
        <f>_fYeClLy8K2x</f>
        <v>Trinidad and Tobago</v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 spans="1:11" ht="15.75">
      <c r="A237" s="33" t="str">
        <f>_pMukkUmnnkh</f>
        <v>Tunisia</v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 spans="1:11" ht="15.75">
      <c r="A238" s="33" t="str">
        <f>_eVEK7djdWqV</f>
        <v>Turkey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 spans="1:11" ht="15.75">
      <c r="A239" s="33" t="str">
        <f>_HwqfuL9pQz5</f>
        <v>Turkmenistan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 spans="1:11" ht="15.75">
      <c r="A240" s="33" t="str">
        <f>_vg4b11FL2Gl</f>
        <v>Turks and Caicos Islands</v>
      </c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 spans="1:11" ht="15.75">
      <c r="A241" s="33" t="str">
        <f>_GrU8zQv510v</f>
        <v>Tuvalu</v>
      </c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 spans="1:11" ht="15.75">
      <c r="A242" s="33" t="str">
        <f>_M9HrCkIwaKy</f>
        <v>US Virgin Islands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 spans="1:11" ht="15.75">
      <c r="A243" s="33" t="str">
        <f>_wFkq5oB0dFS</f>
        <v>USSR, Former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 spans="1:11" ht="15.75">
      <c r="A244" s="33" t="str">
        <f>_SnYHrnchKjL</f>
        <v>Uganda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 spans="1:11" ht="15.75">
      <c r="A245" s="33" t="str">
        <f>_VJrTuNXAg9G</f>
        <v>Ukraine</v>
      </c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 spans="1:11" ht="15.75">
      <c r="A246" s="33" t="str">
        <f>_aNIrqpwcKXv</f>
        <v>United Arab Emirates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 spans="1:11" ht="15.75">
      <c r="A247" s="33" t="str">
        <f>_Gnz4lqrVEMf</f>
        <v>United Kingdom of Great Britain and Northern Irela</v>
      </c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 spans="1:11" ht="15.75">
      <c r="A248" s="33" t="str">
        <f>_TpDwlm2Spev</f>
        <v>United Kingdom, England and Wales</v>
      </c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 spans="1:11" ht="15.75">
      <c r="A249" s="33" t="str">
        <f>_Q8De2VxoKXS</f>
        <v>United Kingdom, Northern Ireland</v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 spans="1:11" ht="15.75">
      <c r="A250" s="33" t="str">
        <f>_Gvox4WmLiYC</f>
        <v>United Kingdom, Scotland</v>
      </c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 spans="1:11" ht="15.75">
      <c r="A251" s="33" t="str">
        <f>_S52uSY3lb8V</f>
        <v>United Republic of Tanzania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 spans="1:11" ht="15.75">
      <c r="A252" s="33" t="str">
        <f>_KOUhvjWIy6V</f>
        <v>United States Minor Outlying Islands</v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 spans="1:11" ht="15.75">
      <c r="A253" s="33" t="str">
        <f>_AYWCbVecRKQ</f>
        <v>United States of America</v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 spans="1:11" ht="15.75">
      <c r="A254" s="33" t="str">
        <f>_PJS910L8KtX</f>
        <v>Uruguay</v>
      </c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 spans="1:11" ht="15.75">
      <c r="A255" s="33" t="str">
        <f>_kpFgAwwSjCZ</f>
        <v>Uzbekistan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 spans="1:11" ht="15.75">
      <c r="A256" s="33" t="str">
        <f>_xqjIL1cGrl1</f>
        <v>Vanuatu</v>
      </c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 spans="1:11" ht="15.75">
      <c r="A257" s="33" t="str">
        <f>_fkrzFaeuYDn</f>
        <v>Venezuela (Bolivarian Republic of)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 spans="1:11" ht="15.75">
      <c r="A258" s="33" t="str">
        <f>_av3fkpFxEXj</f>
        <v>Viet Nam</v>
      </c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 spans="1:11" ht="15.75">
      <c r="A259" s="33" t="str">
        <f>_eVp1pvRfPKS</f>
        <v>Wallis and Futuna</v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 spans="1:11" ht="15.75">
      <c r="A260" s="33" t="str">
        <f>_KrU8C1YTdao</f>
        <v>West Bank</v>
      </c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 spans="1:11" ht="15.75">
      <c r="A261" s="33" t="str">
        <f>_juBxu3AprlM</f>
        <v>West Bank and Gaza Strip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 spans="1:11" ht="15.75">
      <c r="A262" s="33" t="str">
        <f>_PvrMV4NjbtR</f>
        <v>Western Sahara</v>
      </c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 spans="1:11" ht="15.75">
      <c r="A263" s="33" t="str">
        <f>_HX7fBSMCCbL</f>
        <v>Yemen</v>
      </c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 spans="1:11" ht="15.75">
      <c r="A264" s="33" t="str">
        <f>_fIlPGTXBCUm</f>
        <v>Yugoslavia, Former</v>
      </c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 spans="1:11" ht="15.75">
      <c r="A265" s="33" t="str">
        <f>_gb7vWtO7Wjp</f>
        <v>Zambia</v>
      </c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 spans="1:11" ht="15.75">
      <c r="A266" s="33" t="str">
        <f>_buSEeeViTo3</f>
        <v>Zimbabwe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 spans="1:11" ht="15.75">
      <c r="A267" s="33" t="str">
        <f>_Adzexk8xbzD</f>
        <v>Åland Islands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</sheetData>
  <mergeCells count="1">
    <mergeCell ref="A1:E1"/>
  </mergeCells>
  <pageMargins left="0.7" right="0.7" top="0.75" bottom="0.75" header="0" footer="0"/>
  <pageSetup paperSize="9" fitToWidth="0" fitToHeight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60E7-AFC6-4574-A6DC-E89AFAFC7F29}">
  <sheetPr>
    <outlinePr summaryBelow="0" summaryRight="0"/>
    <pageSetUpPr autoPageBreaks="0"/>
  </sheetPr>
  <dimension ref="A1:K1305"/>
  <sheetViews>
    <sheetView zoomScaleSheetLayoutView="100" workbookViewId="0">
      <pane ySplit="2" topLeftCell="A3" activePane="bottomLeft" state="frozen"/>
      <selection pane="bottomLeft" activeCell="B4" sqref="B4"/>
    </sheetView>
  </sheetViews>
  <sheetFormatPr defaultRowHeight="15" customHeight="1"/>
  <cols>
    <col min="1" max="2" width="34.25" customWidth="1"/>
    <col min="3" max="3" width="80" customWidth="1"/>
    <col min="4" max="4" width="29.75" customWidth="1"/>
    <col min="5" max="5" width="10.75" customWidth="1"/>
    <col min="6" max="6" width="15.75" customWidth="1"/>
    <col min="7" max="11" width="12.625" customWidth="1"/>
    <col min="12" max="256" width="15" customWidth="1"/>
  </cols>
  <sheetData>
    <row r="1" spans="1:11" ht="15" customHeight="1">
      <c r="A1" s="45" t="s">
        <v>985</v>
      </c>
      <c r="B1" s="45" t="s">
        <v>986</v>
      </c>
      <c r="C1" s="45" t="s">
        <v>2</v>
      </c>
      <c r="D1" s="45" t="s">
        <v>987</v>
      </c>
      <c r="E1" s="45" t="s">
        <v>988</v>
      </c>
      <c r="F1" s="45" t="s">
        <v>989</v>
      </c>
      <c r="G1" s="33"/>
      <c r="H1" s="33"/>
      <c r="I1" s="33"/>
      <c r="J1" s="33"/>
      <c r="K1" s="33"/>
    </row>
    <row r="2" spans="1:11" ht="15" customHeight="1">
      <c r="A2" s="46"/>
      <c r="B2" s="46"/>
      <c r="C2" s="46"/>
      <c r="D2" s="46"/>
      <c r="E2" s="46"/>
      <c r="F2" s="46"/>
      <c r="G2" s="33"/>
      <c r="H2" s="33"/>
      <c r="I2" s="33"/>
      <c r="J2" s="33"/>
      <c r="K2" s="33"/>
    </row>
    <row r="3" spans="1:11" ht="15" customHeight="1">
      <c r="A3" s="33" t="s">
        <v>990</v>
      </c>
      <c r="B3" s="33" t="s">
        <v>991</v>
      </c>
      <c r="C3" s="33" t="s">
        <v>992</v>
      </c>
      <c r="D3" s="33" t="s">
        <v>993</v>
      </c>
      <c r="E3" s="33"/>
      <c r="F3" s="33"/>
      <c r="G3" s="33"/>
      <c r="H3" s="33"/>
      <c r="I3" s="33"/>
      <c r="J3" s="33"/>
      <c r="K3" s="33"/>
    </row>
    <row r="4" spans="1:11" ht="15" customHeight="1">
      <c r="A4" s="33" t="s">
        <v>994</v>
      </c>
      <c r="B4" s="33" t="s">
        <v>991</v>
      </c>
      <c r="C4" s="33" t="s">
        <v>995</v>
      </c>
      <c r="D4" s="33" t="s">
        <v>993</v>
      </c>
      <c r="E4" s="33"/>
      <c r="F4" s="33"/>
      <c r="G4" s="33"/>
      <c r="H4" s="33"/>
      <c r="I4" s="33"/>
      <c r="J4" s="33"/>
      <c r="K4" s="33"/>
    </row>
    <row r="5" spans="1:11" ht="15" customHeight="1">
      <c r="A5" s="33" t="s">
        <v>996</v>
      </c>
      <c r="B5" s="33" t="s">
        <v>991</v>
      </c>
      <c r="C5" s="33" t="s">
        <v>997</v>
      </c>
      <c r="D5" s="33" t="s">
        <v>993</v>
      </c>
      <c r="E5" s="33"/>
      <c r="F5" s="33"/>
      <c r="G5" s="33"/>
      <c r="H5" s="33"/>
      <c r="I5" s="33"/>
      <c r="J5" s="33"/>
      <c r="K5" s="33"/>
    </row>
    <row r="6" spans="1:11" ht="15" customHeight="1">
      <c r="A6" s="33" t="s">
        <v>998</v>
      </c>
      <c r="B6" s="33" t="s">
        <v>991</v>
      </c>
      <c r="C6" s="33" t="s">
        <v>999</v>
      </c>
      <c r="D6" s="33" t="s">
        <v>993</v>
      </c>
      <c r="E6" s="33"/>
      <c r="F6" s="33"/>
      <c r="G6" s="33"/>
      <c r="H6" s="33"/>
      <c r="I6" s="33"/>
      <c r="J6" s="33"/>
      <c r="K6" s="33"/>
    </row>
    <row r="7" spans="1:11" ht="15" customHeight="1">
      <c r="A7" s="33" t="s">
        <v>1000</v>
      </c>
      <c r="B7" s="33" t="s">
        <v>991</v>
      </c>
      <c r="C7" s="33" t="s">
        <v>1001</v>
      </c>
      <c r="D7" s="33" t="s">
        <v>993</v>
      </c>
      <c r="E7" s="33"/>
      <c r="F7" s="33"/>
      <c r="G7" s="33"/>
      <c r="H7" s="33"/>
      <c r="I7" s="33"/>
      <c r="J7" s="33"/>
      <c r="K7" s="33"/>
    </row>
    <row r="8" spans="1:11" ht="15" customHeight="1">
      <c r="A8" s="33" t="s">
        <v>1002</v>
      </c>
      <c r="B8" s="33" t="s">
        <v>991</v>
      </c>
      <c r="C8" s="33" t="s">
        <v>1003</v>
      </c>
      <c r="D8" s="33" t="s">
        <v>993</v>
      </c>
      <c r="E8" s="33"/>
      <c r="F8" s="33"/>
      <c r="G8" s="33"/>
      <c r="H8" s="33"/>
      <c r="I8" s="33"/>
      <c r="J8" s="33"/>
      <c r="K8" s="33"/>
    </row>
    <row r="9" spans="1:11" ht="15" customHeight="1">
      <c r="A9" s="33" t="s">
        <v>946</v>
      </c>
      <c r="B9" s="33" t="s">
        <v>991</v>
      </c>
      <c r="C9" s="33" t="s">
        <v>1004</v>
      </c>
      <c r="D9" s="33" t="s">
        <v>1005</v>
      </c>
      <c r="E9" s="33"/>
      <c r="F9" s="33"/>
      <c r="G9" s="33"/>
      <c r="H9" s="33"/>
      <c r="I9" s="33"/>
      <c r="J9" s="33"/>
      <c r="K9" s="33"/>
    </row>
    <row r="10" spans="1:11" ht="15" customHeight="1">
      <c r="A10" s="33" t="s">
        <v>1006</v>
      </c>
      <c r="B10" s="33" t="s">
        <v>991</v>
      </c>
      <c r="C10" s="33" t="s">
        <v>1007</v>
      </c>
      <c r="D10" s="33" t="s">
        <v>993</v>
      </c>
      <c r="E10" s="33"/>
      <c r="F10" s="33"/>
      <c r="G10" s="33"/>
      <c r="H10" s="33"/>
      <c r="I10" s="33"/>
      <c r="J10" s="33"/>
      <c r="K10" s="33"/>
    </row>
    <row r="11" spans="1:11" ht="15" customHeight="1">
      <c r="A11" s="33" t="s">
        <v>1008</v>
      </c>
      <c r="B11" s="33" t="s">
        <v>991</v>
      </c>
      <c r="C11" s="33" t="s">
        <v>1009</v>
      </c>
      <c r="D11" s="33" t="s">
        <v>993</v>
      </c>
      <c r="E11" s="33"/>
      <c r="F11" s="33"/>
      <c r="G11" s="33"/>
      <c r="H11" s="33"/>
      <c r="I11" s="33"/>
      <c r="J11" s="33"/>
      <c r="K11" s="33"/>
    </row>
    <row r="12" spans="1:11" ht="15" customHeight="1">
      <c r="A12" s="33" t="s">
        <v>1010</v>
      </c>
      <c r="B12" s="33" t="s">
        <v>991</v>
      </c>
      <c r="C12" s="33" t="s">
        <v>1011</v>
      </c>
      <c r="D12" s="33" t="s">
        <v>993</v>
      </c>
      <c r="E12" s="33"/>
      <c r="F12" s="33"/>
      <c r="G12" s="33"/>
      <c r="H12" s="33"/>
      <c r="I12" s="33"/>
      <c r="J12" s="33"/>
      <c r="K12" s="33"/>
    </row>
    <row r="13" spans="1:11" ht="15" customHeight="1">
      <c r="A13" s="33" t="s">
        <v>974</v>
      </c>
      <c r="B13" s="33" t="s">
        <v>991</v>
      </c>
      <c r="C13" s="33" t="s">
        <v>1012</v>
      </c>
      <c r="D13" s="33" t="s">
        <v>1005</v>
      </c>
      <c r="E13" s="33"/>
      <c r="F13" s="33"/>
      <c r="G13" s="33"/>
      <c r="H13" s="33"/>
      <c r="I13" s="33"/>
      <c r="J13" s="33"/>
      <c r="K13" s="33"/>
    </row>
    <row r="14" spans="1:11" ht="15" customHeight="1">
      <c r="A14" s="33" t="s">
        <v>1013</v>
      </c>
      <c r="B14" s="33" t="s">
        <v>991</v>
      </c>
      <c r="C14" s="33" t="s">
        <v>1014</v>
      </c>
      <c r="D14" s="33" t="s">
        <v>993</v>
      </c>
      <c r="E14" s="33"/>
      <c r="F14" s="33"/>
      <c r="G14" s="33"/>
      <c r="H14" s="33"/>
      <c r="I14" s="33"/>
      <c r="J14" s="33"/>
      <c r="K14" s="33"/>
    </row>
    <row r="15" spans="1:11" ht="15" customHeight="1">
      <c r="A15" s="33" t="s">
        <v>1015</v>
      </c>
      <c r="B15" s="33" t="s">
        <v>991</v>
      </c>
      <c r="C15" s="33" t="s">
        <v>1016</v>
      </c>
      <c r="D15" s="33" t="s">
        <v>993</v>
      </c>
      <c r="E15" s="33"/>
      <c r="F15" s="33"/>
      <c r="G15" s="33"/>
      <c r="H15" s="33"/>
      <c r="I15" s="33"/>
      <c r="J15" s="33"/>
      <c r="K15" s="33"/>
    </row>
    <row r="16" spans="1:11" ht="15" customHeight="1">
      <c r="A16" s="33" t="s">
        <v>1017</v>
      </c>
      <c r="B16" s="33" t="s">
        <v>991</v>
      </c>
      <c r="C16" s="33" t="s">
        <v>1018</v>
      </c>
      <c r="D16" s="33" t="s">
        <v>993</v>
      </c>
      <c r="E16" s="33"/>
      <c r="F16" s="33"/>
      <c r="G16" s="33"/>
      <c r="H16" s="33"/>
      <c r="I16" s="33"/>
      <c r="J16" s="33"/>
      <c r="K16" s="33"/>
    </row>
    <row r="17" spans="1:11" ht="15" customHeight="1">
      <c r="A17" s="33" t="s">
        <v>964</v>
      </c>
      <c r="B17" s="33" t="s">
        <v>991</v>
      </c>
      <c r="C17" s="33" t="s">
        <v>1019</v>
      </c>
      <c r="D17" s="33" t="s">
        <v>1005</v>
      </c>
      <c r="E17" s="33"/>
      <c r="F17" s="33"/>
      <c r="G17" s="33"/>
      <c r="H17" s="33"/>
      <c r="I17" s="33"/>
      <c r="J17" s="33"/>
      <c r="K17" s="33"/>
    </row>
    <row r="18" spans="1:11" ht="15" customHeight="1">
      <c r="A18" s="33" t="s">
        <v>1020</v>
      </c>
      <c r="B18" s="33" t="s">
        <v>991</v>
      </c>
      <c r="C18" s="33" t="s">
        <v>1021</v>
      </c>
      <c r="D18" s="33" t="s">
        <v>993</v>
      </c>
      <c r="E18" s="33"/>
      <c r="F18" s="33"/>
      <c r="G18" s="33"/>
      <c r="H18" s="33"/>
      <c r="I18" s="33"/>
      <c r="J18" s="33"/>
      <c r="K18" s="33"/>
    </row>
    <row r="19" spans="1:11" ht="15" customHeight="1">
      <c r="A19" s="33" t="s">
        <v>1022</v>
      </c>
      <c r="B19" s="33" t="s">
        <v>991</v>
      </c>
      <c r="C19" s="33" t="s">
        <v>1023</v>
      </c>
      <c r="D19" s="33" t="s">
        <v>993</v>
      </c>
      <c r="E19" s="33"/>
      <c r="F19" s="33"/>
      <c r="G19" s="33"/>
      <c r="H19" s="33"/>
      <c r="I19" s="33"/>
      <c r="J19" s="33"/>
      <c r="K19" s="33"/>
    </row>
    <row r="20" spans="1:11" ht="15" customHeight="1">
      <c r="A20" s="33" t="s">
        <v>1024</v>
      </c>
      <c r="B20" s="33" t="s">
        <v>991</v>
      </c>
      <c r="C20" s="33" t="s">
        <v>1025</v>
      </c>
      <c r="D20" s="33" t="s">
        <v>993</v>
      </c>
      <c r="E20" s="33"/>
      <c r="F20" s="33"/>
      <c r="G20" s="33"/>
      <c r="H20" s="33"/>
      <c r="I20" s="33"/>
      <c r="J20" s="33"/>
      <c r="K20" s="33"/>
    </row>
    <row r="21" spans="1:11" ht="15" customHeight="1">
      <c r="A21" s="33" t="s">
        <v>1026</v>
      </c>
      <c r="B21" s="33" t="s">
        <v>991</v>
      </c>
      <c r="C21" s="33" t="s">
        <v>1027</v>
      </c>
      <c r="D21" s="33" t="s">
        <v>993</v>
      </c>
      <c r="E21" s="33"/>
      <c r="F21" s="33"/>
      <c r="G21" s="33"/>
      <c r="H21" s="33"/>
      <c r="I21" s="33"/>
      <c r="J21" s="33"/>
      <c r="K21" s="33"/>
    </row>
    <row r="22" spans="1:11" ht="15" customHeight="1">
      <c r="A22" s="33" t="s">
        <v>960</v>
      </c>
      <c r="B22" s="33" t="s">
        <v>991</v>
      </c>
      <c r="C22" s="33" t="s">
        <v>1028</v>
      </c>
      <c r="D22" s="33" t="s">
        <v>1005</v>
      </c>
      <c r="E22" s="33"/>
      <c r="F22" s="33"/>
      <c r="G22" s="33"/>
      <c r="H22" s="33"/>
      <c r="I22" s="33"/>
      <c r="J22" s="33"/>
      <c r="K22" s="33"/>
    </row>
    <row r="23" spans="1:11" ht="15" customHeight="1">
      <c r="A23" s="33" t="s">
        <v>1029</v>
      </c>
      <c r="B23" s="33" t="s">
        <v>991</v>
      </c>
      <c r="C23" s="33" t="s">
        <v>1030</v>
      </c>
      <c r="D23" s="33" t="s">
        <v>993</v>
      </c>
      <c r="E23" s="33"/>
      <c r="F23" s="33"/>
      <c r="G23" s="33"/>
      <c r="H23" s="33"/>
      <c r="I23" s="33"/>
      <c r="J23" s="33"/>
      <c r="K23" s="33"/>
    </row>
    <row r="24" spans="1:11" ht="15" customHeight="1">
      <c r="A24" s="33" t="s">
        <v>1031</v>
      </c>
      <c r="B24" s="33" t="s">
        <v>991</v>
      </c>
      <c r="C24" s="33" t="s">
        <v>1032</v>
      </c>
      <c r="D24" s="33" t="s">
        <v>993</v>
      </c>
      <c r="E24" s="33"/>
      <c r="F24" s="33"/>
      <c r="G24" s="33"/>
      <c r="H24" s="33"/>
      <c r="I24" s="33"/>
      <c r="J24" s="33"/>
      <c r="K24" s="33"/>
    </row>
    <row r="25" spans="1:11" ht="15" customHeight="1">
      <c r="A25" s="33" t="s">
        <v>1033</v>
      </c>
      <c r="B25" s="33" t="s">
        <v>991</v>
      </c>
      <c r="C25" s="33" t="s">
        <v>1034</v>
      </c>
      <c r="D25" s="33" t="s">
        <v>993</v>
      </c>
      <c r="E25" s="33"/>
      <c r="F25" s="33"/>
      <c r="G25" s="33"/>
      <c r="H25" s="33"/>
      <c r="I25" s="33"/>
      <c r="J25" s="33"/>
      <c r="K25" s="33"/>
    </row>
    <row r="26" spans="1:11" ht="15" customHeight="1">
      <c r="A26" s="33" t="s">
        <v>1035</v>
      </c>
      <c r="B26" s="33" t="s">
        <v>991</v>
      </c>
      <c r="C26" s="33" t="s">
        <v>1036</v>
      </c>
      <c r="D26" s="33" t="s">
        <v>993</v>
      </c>
      <c r="E26" s="33"/>
      <c r="F26" s="33"/>
      <c r="G26" s="33"/>
      <c r="H26" s="33"/>
      <c r="I26" s="33"/>
      <c r="J26" s="33"/>
      <c r="K26" s="33"/>
    </row>
    <row r="27" spans="1:11" ht="15" customHeight="1">
      <c r="A27" s="33" t="s">
        <v>1037</v>
      </c>
      <c r="B27" s="33" t="s">
        <v>991</v>
      </c>
      <c r="C27" s="33" t="s">
        <v>1038</v>
      </c>
      <c r="D27" s="33" t="s">
        <v>993</v>
      </c>
      <c r="E27" s="33"/>
      <c r="F27" s="33"/>
      <c r="G27" s="33"/>
      <c r="H27" s="33"/>
      <c r="I27" s="33"/>
      <c r="J27" s="33"/>
      <c r="K27" s="33"/>
    </row>
    <row r="28" spans="1:11" ht="15.75">
      <c r="A28" s="33" t="s">
        <v>1039</v>
      </c>
      <c r="B28" s="33" t="s">
        <v>991</v>
      </c>
      <c r="C28" s="33" t="s">
        <v>1040</v>
      </c>
      <c r="D28" s="33" t="s">
        <v>993</v>
      </c>
      <c r="E28" s="33"/>
      <c r="F28" s="33"/>
      <c r="G28" s="33"/>
      <c r="H28" s="33"/>
      <c r="I28" s="33"/>
      <c r="J28" s="33"/>
      <c r="K28" s="33"/>
    </row>
    <row r="29" spans="1:11" ht="15.75">
      <c r="A29" s="33" t="s">
        <v>1041</v>
      </c>
      <c r="B29" s="33" t="s">
        <v>991</v>
      </c>
      <c r="C29" s="33" t="s">
        <v>1042</v>
      </c>
      <c r="D29" s="33" t="s">
        <v>993</v>
      </c>
      <c r="E29" s="33"/>
      <c r="F29" s="33"/>
      <c r="G29" s="33"/>
      <c r="H29" s="33"/>
      <c r="I29" s="33"/>
      <c r="J29" s="33"/>
      <c r="K29" s="33"/>
    </row>
    <row r="30" spans="1:11" ht="15.75">
      <c r="A30" s="33" t="s">
        <v>1043</v>
      </c>
      <c r="B30" s="33" t="s">
        <v>991</v>
      </c>
      <c r="C30" s="33" t="s">
        <v>1044</v>
      </c>
      <c r="D30" s="33" t="s">
        <v>993</v>
      </c>
      <c r="E30" s="33"/>
      <c r="F30" s="33"/>
      <c r="G30" s="33"/>
      <c r="H30" s="33"/>
      <c r="I30" s="33"/>
      <c r="J30" s="33"/>
      <c r="K30" s="33"/>
    </row>
    <row r="31" spans="1:11" ht="15.75">
      <c r="A31" s="33" t="s">
        <v>1045</v>
      </c>
      <c r="B31" s="33" t="s">
        <v>991</v>
      </c>
      <c r="C31" s="33" t="s">
        <v>1046</v>
      </c>
      <c r="D31" s="33" t="s">
        <v>993</v>
      </c>
      <c r="E31" s="33"/>
      <c r="F31" s="33"/>
      <c r="G31" s="33"/>
      <c r="H31" s="33"/>
      <c r="I31" s="33"/>
      <c r="J31" s="33"/>
      <c r="K31" s="33"/>
    </row>
    <row r="32" spans="1:11" ht="15.75">
      <c r="A32" s="33" t="s">
        <v>1047</v>
      </c>
      <c r="B32" s="33" t="s">
        <v>991</v>
      </c>
      <c r="C32" s="33" t="s">
        <v>1048</v>
      </c>
      <c r="D32" s="33" t="s">
        <v>993</v>
      </c>
      <c r="E32" s="33"/>
      <c r="F32" s="33"/>
      <c r="G32" s="33"/>
      <c r="H32" s="33"/>
      <c r="I32" s="33"/>
      <c r="J32" s="33"/>
      <c r="K32" s="33"/>
    </row>
    <row r="33" spans="1:11" ht="15.75">
      <c r="A33" s="33" t="s">
        <v>1049</v>
      </c>
      <c r="B33" s="33" t="s">
        <v>991</v>
      </c>
      <c r="C33" s="33" t="s">
        <v>1050</v>
      </c>
      <c r="D33" s="33" t="s">
        <v>993</v>
      </c>
      <c r="E33" s="33"/>
      <c r="F33" s="33"/>
      <c r="G33" s="33"/>
      <c r="H33" s="33"/>
      <c r="I33" s="33"/>
      <c r="J33" s="33"/>
      <c r="K33" s="33"/>
    </row>
    <row r="34" spans="1:11" ht="15.75">
      <c r="A34" s="33" t="s">
        <v>1051</v>
      </c>
      <c r="B34" s="33" t="s">
        <v>991</v>
      </c>
      <c r="C34" s="33" t="s">
        <v>1052</v>
      </c>
      <c r="D34" s="33" t="s">
        <v>993</v>
      </c>
      <c r="E34" s="33"/>
      <c r="F34" s="33"/>
      <c r="G34" s="33"/>
      <c r="H34" s="33"/>
      <c r="I34" s="33"/>
      <c r="J34" s="33"/>
      <c r="K34" s="33"/>
    </row>
    <row r="35" spans="1:11" ht="15.75">
      <c r="A35" s="33" t="s">
        <v>1053</v>
      </c>
      <c r="B35" s="33" t="s">
        <v>991</v>
      </c>
      <c r="C35" s="33" t="s">
        <v>1054</v>
      </c>
      <c r="D35" s="33" t="s">
        <v>993</v>
      </c>
      <c r="E35" s="33"/>
      <c r="F35" s="33"/>
      <c r="G35" s="33"/>
      <c r="H35" s="33"/>
      <c r="I35" s="33"/>
      <c r="J35" s="33"/>
      <c r="K35" s="33"/>
    </row>
    <row r="36" spans="1:11" ht="15.75">
      <c r="A36" s="33" t="s">
        <v>1055</v>
      </c>
      <c r="B36" s="33" t="s">
        <v>991</v>
      </c>
      <c r="C36" s="33" t="s">
        <v>1056</v>
      </c>
      <c r="D36" s="33" t="s">
        <v>993</v>
      </c>
      <c r="E36" s="33"/>
      <c r="F36" s="33"/>
      <c r="G36" s="33"/>
      <c r="H36" s="33"/>
      <c r="I36" s="33"/>
      <c r="J36" s="33"/>
      <c r="K36" s="33"/>
    </row>
    <row r="37" spans="1:11" ht="15.75">
      <c r="A37" s="33" t="s">
        <v>1057</v>
      </c>
      <c r="B37" s="33" t="s">
        <v>991</v>
      </c>
      <c r="C37" s="33" t="s">
        <v>1058</v>
      </c>
      <c r="D37" s="33" t="s">
        <v>993</v>
      </c>
      <c r="E37" s="33"/>
      <c r="F37" s="33"/>
      <c r="G37" s="33"/>
      <c r="H37" s="33"/>
      <c r="I37" s="33"/>
      <c r="J37" s="33"/>
      <c r="K37" s="33"/>
    </row>
    <row r="38" spans="1:11" ht="15.75">
      <c r="A38" s="33" t="s">
        <v>1059</v>
      </c>
      <c r="B38" s="33" t="s">
        <v>991</v>
      </c>
      <c r="C38" s="33" t="s">
        <v>1060</v>
      </c>
      <c r="D38" s="33" t="s">
        <v>993</v>
      </c>
      <c r="E38" s="33"/>
      <c r="F38" s="33"/>
      <c r="G38" s="33"/>
      <c r="H38" s="33"/>
      <c r="I38" s="33"/>
      <c r="J38" s="33"/>
      <c r="K38" s="33"/>
    </row>
    <row r="39" spans="1:11" ht="15.75">
      <c r="A39" s="33" t="s">
        <v>1061</v>
      </c>
      <c r="B39" s="33" t="s">
        <v>991</v>
      </c>
      <c r="C39" s="33" t="s">
        <v>1062</v>
      </c>
      <c r="D39" s="33" t="s">
        <v>993</v>
      </c>
      <c r="E39" s="33"/>
      <c r="F39" s="33"/>
      <c r="G39" s="33"/>
      <c r="H39" s="33"/>
      <c r="I39" s="33"/>
      <c r="J39" s="33"/>
      <c r="K39" s="33"/>
    </row>
    <row r="40" spans="1:11" ht="15.75">
      <c r="A40" s="33" t="s">
        <v>1063</v>
      </c>
      <c r="B40" s="33" t="s">
        <v>991</v>
      </c>
      <c r="C40" s="33" t="s">
        <v>1064</v>
      </c>
      <c r="D40" s="33" t="s">
        <v>993</v>
      </c>
      <c r="E40" s="33"/>
      <c r="F40" s="33"/>
      <c r="G40" s="33"/>
      <c r="H40" s="33"/>
      <c r="I40" s="33"/>
      <c r="J40" s="33"/>
      <c r="K40" s="33"/>
    </row>
    <row r="41" spans="1:11" ht="15.75">
      <c r="A41" s="33" t="s">
        <v>1065</v>
      </c>
      <c r="B41" s="33" t="s">
        <v>991</v>
      </c>
      <c r="C41" s="33" t="s">
        <v>1066</v>
      </c>
      <c r="D41" s="33" t="s">
        <v>993</v>
      </c>
      <c r="E41" s="33"/>
      <c r="F41" s="33"/>
      <c r="G41" s="33"/>
      <c r="H41" s="33"/>
      <c r="I41" s="33"/>
      <c r="J41" s="33"/>
      <c r="K41" s="33"/>
    </row>
    <row r="42" spans="1:11" ht="15.75">
      <c r="A42" s="33" t="s">
        <v>1067</v>
      </c>
      <c r="B42" s="33" t="s">
        <v>991</v>
      </c>
      <c r="C42" s="33" t="s">
        <v>1068</v>
      </c>
      <c r="D42" s="33" t="s">
        <v>993</v>
      </c>
      <c r="E42" s="33"/>
      <c r="F42" s="33"/>
      <c r="G42" s="33"/>
      <c r="H42" s="33"/>
      <c r="I42" s="33"/>
      <c r="J42" s="33"/>
      <c r="K42" s="33"/>
    </row>
    <row r="43" spans="1:11" ht="15.75">
      <c r="A43" s="33" t="s">
        <v>1069</v>
      </c>
      <c r="B43" s="33" t="s">
        <v>991</v>
      </c>
      <c r="C43" s="33" t="s">
        <v>1070</v>
      </c>
      <c r="D43" s="33" t="s">
        <v>993</v>
      </c>
      <c r="E43" s="33"/>
      <c r="F43" s="33"/>
      <c r="G43" s="33"/>
      <c r="H43" s="33"/>
      <c r="I43" s="33"/>
      <c r="J43" s="33"/>
      <c r="K43" s="33"/>
    </row>
    <row r="44" spans="1:11" ht="15.75">
      <c r="A44" s="33" t="s">
        <v>948</v>
      </c>
      <c r="B44" s="33" t="s">
        <v>991</v>
      </c>
      <c r="C44" s="33" t="s">
        <v>1071</v>
      </c>
      <c r="D44" s="33" t="s">
        <v>1005</v>
      </c>
      <c r="E44" s="33"/>
      <c r="F44" s="33"/>
      <c r="G44" s="33"/>
      <c r="H44" s="33"/>
      <c r="I44" s="33"/>
      <c r="J44" s="33"/>
      <c r="K44" s="33"/>
    </row>
    <row r="45" spans="1:11" ht="15.75">
      <c r="A45" s="33" t="s">
        <v>1072</v>
      </c>
      <c r="B45" s="33" t="s">
        <v>991</v>
      </c>
      <c r="C45" s="33" t="s">
        <v>1073</v>
      </c>
      <c r="D45" s="33" t="s">
        <v>993</v>
      </c>
      <c r="E45" s="33"/>
      <c r="F45" s="33"/>
      <c r="G45" s="33"/>
      <c r="H45" s="33"/>
      <c r="I45" s="33"/>
      <c r="J45" s="33"/>
      <c r="K45" s="33"/>
    </row>
    <row r="46" spans="1:11" ht="15.75">
      <c r="A46" s="33" t="s">
        <v>1074</v>
      </c>
      <c r="B46" s="33" t="s">
        <v>991</v>
      </c>
      <c r="C46" s="33" t="s">
        <v>1075</v>
      </c>
      <c r="D46" s="33" t="s">
        <v>993</v>
      </c>
      <c r="E46" s="33"/>
      <c r="F46" s="33"/>
      <c r="G46" s="33"/>
      <c r="H46" s="33"/>
      <c r="I46" s="33"/>
      <c r="J46" s="33"/>
      <c r="K46" s="33"/>
    </row>
    <row r="47" spans="1:11" ht="15.75">
      <c r="A47" s="33" t="s">
        <v>1076</v>
      </c>
      <c r="B47" s="33" t="s">
        <v>991</v>
      </c>
      <c r="C47" s="33" t="s">
        <v>1077</v>
      </c>
      <c r="D47" s="33" t="s">
        <v>993</v>
      </c>
      <c r="E47" s="33"/>
      <c r="F47" s="33"/>
      <c r="G47" s="33"/>
      <c r="H47" s="33"/>
      <c r="I47" s="33"/>
      <c r="J47" s="33"/>
      <c r="K47" s="33"/>
    </row>
    <row r="48" spans="1:11" ht="15.75">
      <c r="A48" s="33" t="s">
        <v>968</v>
      </c>
      <c r="B48" s="33" t="s">
        <v>991</v>
      </c>
      <c r="C48" s="33" t="s">
        <v>1078</v>
      </c>
      <c r="D48" s="33" t="s">
        <v>1005</v>
      </c>
      <c r="E48" s="33"/>
      <c r="F48" s="33"/>
      <c r="G48" s="33"/>
      <c r="H48" s="33"/>
      <c r="I48" s="33"/>
      <c r="J48" s="33"/>
      <c r="K48" s="33"/>
    </row>
    <row r="49" spans="1:11" ht="15.75">
      <c r="A49" s="33" t="s">
        <v>1079</v>
      </c>
      <c r="B49" s="33" t="s">
        <v>991</v>
      </c>
      <c r="C49" s="33" t="s">
        <v>1080</v>
      </c>
      <c r="D49" s="33" t="s">
        <v>993</v>
      </c>
      <c r="E49" s="33"/>
      <c r="F49" s="33"/>
      <c r="G49" s="33"/>
      <c r="H49" s="33"/>
      <c r="I49" s="33"/>
      <c r="J49" s="33"/>
      <c r="K49" s="33"/>
    </row>
    <row r="50" spans="1:11" ht="15.75">
      <c r="A50" s="33" t="s">
        <v>1081</v>
      </c>
      <c r="B50" s="33" t="s">
        <v>991</v>
      </c>
      <c r="C50" s="33" t="s">
        <v>1082</v>
      </c>
      <c r="D50" s="33" t="s">
        <v>993</v>
      </c>
      <c r="E50" s="33"/>
      <c r="F50" s="33"/>
      <c r="G50" s="33"/>
      <c r="H50" s="33"/>
      <c r="I50" s="33"/>
      <c r="J50" s="33"/>
      <c r="K50" s="33"/>
    </row>
    <row r="51" spans="1:11" ht="15.75">
      <c r="A51" s="33" t="s">
        <v>966</v>
      </c>
      <c r="B51" s="33" t="s">
        <v>991</v>
      </c>
      <c r="C51" s="33" t="s">
        <v>1083</v>
      </c>
      <c r="D51" s="33" t="s">
        <v>1005</v>
      </c>
      <c r="E51" s="33"/>
      <c r="F51" s="33"/>
      <c r="G51" s="33"/>
      <c r="H51" s="33"/>
      <c r="I51" s="33"/>
      <c r="J51" s="33"/>
      <c r="K51" s="33"/>
    </row>
    <row r="52" spans="1:11" ht="15.75">
      <c r="A52" s="33" t="s">
        <v>1084</v>
      </c>
      <c r="B52" s="33" t="s">
        <v>991</v>
      </c>
      <c r="C52" s="33" t="s">
        <v>1085</v>
      </c>
      <c r="D52" s="33" t="s">
        <v>993</v>
      </c>
      <c r="E52" s="33"/>
      <c r="F52" s="33"/>
      <c r="G52" s="33"/>
      <c r="H52" s="33"/>
      <c r="I52" s="33"/>
      <c r="J52" s="33"/>
      <c r="K52" s="33"/>
    </row>
    <row r="53" spans="1:11" ht="15.75">
      <c r="A53" s="33" t="s">
        <v>1086</v>
      </c>
      <c r="B53" s="33" t="s">
        <v>991</v>
      </c>
      <c r="C53" s="33" t="s">
        <v>1087</v>
      </c>
      <c r="D53" s="33" t="s">
        <v>993</v>
      </c>
      <c r="E53" s="33"/>
      <c r="F53" s="33"/>
      <c r="G53" s="33"/>
      <c r="H53" s="33"/>
      <c r="I53" s="33"/>
      <c r="J53" s="33"/>
      <c r="K53" s="33"/>
    </row>
    <row r="54" spans="1:11" ht="15.75">
      <c r="A54" s="33" t="s">
        <v>1088</v>
      </c>
      <c r="B54" s="33" t="s">
        <v>991</v>
      </c>
      <c r="C54" s="33" t="s">
        <v>1089</v>
      </c>
      <c r="D54" s="33" t="s">
        <v>993</v>
      </c>
      <c r="E54" s="33"/>
      <c r="F54" s="33"/>
      <c r="G54" s="33"/>
      <c r="H54" s="33"/>
      <c r="I54" s="33"/>
      <c r="J54" s="33"/>
      <c r="K54" s="33"/>
    </row>
    <row r="55" spans="1:11" ht="15.75">
      <c r="A55" s="33" t="s">
        <v>1090</v>
      </c>
      <c r="B55" s="33" t="s">
        <v>991</v>
      </c>
      <c r="C55" s="33" t="s">
        <v>1091</v>
      </c>
      <c r="D55" s="33" t="s">
        <v>993</v>
      </c>
      <c r="E55" s="33"/>
      <c r="F55" s="33"/>
      <c r="G55" s="33"/>
      <c r="H55" s="33"/>
      <c r="I55" s="33"/>
      <c r="J55" s="33"/>
      <c r="K55" s="33"/>
    </row>
    <row r="56" spans="1:11" ht="15.75">
      <c r="A56" s="33" t="s">
        <v>1092</v>
      </c>
      <c r="B56" s="33" t="s">
        <v>991</v>
      </c>
      <c r="C56" s="33" t="s">
        <v>1093</v>
      </c>
      <c r="D56" s="33" t="s">
        <v>993</v>
      </c>
      <c r="E56" s="33"/>
      <c r="F56" s="33"/>
      <c r="G56" s="33"/>
      <c r="H56" s="33"/>
      <c r="I56" s="33"/>
      <c r="J56" s="33"/>
      <c r="K56" s="33"/>
    </row>
    <row r="57" spans="1:11" ht="15.75">
      <c r="A57" s="33" t="s">
        <v>1094</v>
      </c>
      <c r="B57" s="33" t="s">
        <v>991</v>
      </c>
      <c r="C57" s="33" t="s">
        <v>1095</v>
      </c>
      <c r="D57" s="33" t="s">
        <v>993</v>
      </c>
      <c r="E57" s="33"/>
      <c r="F57" s="33"/>
      <c r="G57" s="33"/>
      <c r="H57" s="33"/>
      <c r="I57" s="33"/>
      <c r="J57" s="33"/>
      <c r="K57" s="33"/>
    </row>
    <row r="58" spans="1:11" ht="15.75">
      <c r="A58" s="33" t="s">
        <v>1096</v>
      </c>
      <c r="B58" s="33" t="s">
        <v>991</v>
      </c>
      <c r="C58" s="33" t="s">
        <v>1097</v>
      </c>
      <c r="D58" s="33" t="s">
        <v>993</v>
      </c>
      <c r="E58" s="33"/>
      <c r="F58" s="33"/>
      <c r="G58" s="33"/>
      <c r="H58" s="33"/>
      <c r="I58" s="33"/>
      <c r="J58" s="33"/>
      <c r="K58" s="33"/>
    </row>
    <row r="59" spans="1:11" ht="15.75">
      <c r="A59" s="33" t="s">
        <v>1098</v>
      </c>
      <c r="B59" s="33" t="s">
        <v>991</v>
      </c>
      <c r="C59" s="33" t="s">
        <v>1099</v>
      </c>
      <c r="D59" s="33" t="s">
        <v>993</v>
      </c>
      <c r="E59" s="33"/>
      <c r="F59" s="33"/>
      <c r="G59" s="33"/>
      <c r="H59" s="33"/>
      <c r="I59" s="33"/>
      <c r="J59" s="33"/>
      <c r="K59" s="33"/>
    </row>
    <row r="60" spans="1:11" ht="15.75">
      <c r="A60" s="33" t="s">
        <v>1100</v>
      </c>
      <c r="B60" s="33" t="s">
        <v>991</v>
      </c>
      <c r="C60" s="33" t="s">
        <v>1101</v>
      </c>
      <c r="D60" s="33" t="s">
        <v>993</v>
      </c>
      <c r="E60" s="33"/>
      <c r="F60" s="33"/>
      <c r="G60" s="33"/>
      <c r="H60" s="33"/>
      <c r="I60" s="33"/>
      <c r="J60" s="33"/>
      <c r="K60" s="33"/>
    </row>
    <row r="61" spans="1:11" ht="15.75">
      <c r="A61" s="33" t="s">
        <v>1102</v>
      </c>
      <c r="B61" s="33" t="s">
        <v>991</v>
      </c>
      <c r="C61" s="33" t="s">
        <v>1103</v>
      </c>
      <c r="D61" s="33" t="s">
        <v>993</v>
      </c>
      <c r="E61" s="33"/>
      <c r="F61" s="33"/>
      <c r="G61" s="33"/>
      <c r="H61" s="33"/>
      <c r="I61" s="33"/>
      <c r="J61" s="33"/>
      <c r="K61" s="33"/>
    </row>
    <row r="62" spans="1:11" ht="15.75">
      <c r="A62" s="33" t="s">
        <v>1104</v>
      </c>
      <c r="B62" s="33" t="s">
        <v>991</v>
      </c>
      <c r="C62" s="33" t="s">
        <v>1105</v>
      </c>
      <c r="D62" s="33" t="s">
        <v>993</v>
      </c>
      <c r="E62" s="33"/>
      <c r="F62" s="33"/>
      <c r="G62" s="33"/>
      <c r="H62" s="33"/>
      <c r="I62" s="33"/>
      <c r="J62" s="33"/>
      <c r="K62" s="33"/>
    </row>
    <row r="63" spans="1:11" ht="15.75">
      <c r="A63" s="33" t="s">
        <v>1106</v>
      </c>
      <c r="B63" s="33" t="s">
        <v>991</v>
      </c>
      <c r="C63" s="33" t="s">
        <v>1107</v>
      </c>
      <c r="D63" s="33" t="s">
        <v>993</v>
      </c>
      <c r="E63" s="33"/>
      <c r="F63" s="33"/>
      <c r="G63" s="33"/>
      <c r="H63" s="33"/>
      <c r="I63" s="33"/>
      <c r="J63" s="33"/>
      <c r="K63" s="33"/>
    </row>
    <row r="64" spans="1:11" ht="15.75">
      <c r="A64" s="33" t="s">
        <v>1108</v>
      </c>
      <c r="B64" s="33" t="s">
        <v>991</v>
      </c>
      <c r="C64" s="33" t="s">
        <v>1109</v>
      </c>
      <c r="D64" s="33" t="s">
        <v>993</v>
      </c>
      <c r="E64" s="33"/>
      <c r="F64" s="33"/>
      <c r="G64" s="33"/>
      <c r="H64" s="33"/>
      <c r="I64" s="33"/>
      <c r="J64" s="33"/>
      <c r="K64" s="33"/>
    </row>
    <row r="65" spans="1:11" ht="15.75">
      <c r="A65" s="33" t="s">
        <v>1110</v>
      </c>
      <c r="B65" s="33" t="s">
        <v>991</v>
      </c>
      <c r="C65" s="33" t="s">
        <v>1111</v>
      </c>
      <c r="D65" s="33" t="s">
        <v>993</v>
      </c>
      <c r="E65" s="33"/>
      <c r="F65" s="33"/>
      <c r="G65" s="33"/>
      <c r="H65" s="33"/>
      <c r="I65" s="33"/>
      <c r="J65" s="33"/>
      <c r="K65" s="33"/>
    </row>
    <row r="66" spans="1:11" ht="15.75">
      <c r="A66" s="33" t="s">
        <v>1112</v>
      </c>
      <c r="B66" s="33" t="s">
        <v>991</v>
      </c>
      <c r="C66" s="33" t="s">
        <v>1113</v>
      </c>
      <c r="D66" s="33" t="s">
        <v>993</v>
      </c>
      <c r="E66" s="33"/>
      <c r="F66" s="33"/>
      <c r="G66" s="33"/>
      <c r="H66" s="33"/>
      <c r="I66" s="33"/>
      <c r="J66" s="33"/>
      <c r="K66" s="33"/>
    </row>
    <row r="67" spans="1:11" ht="15.75">
      <c r="A67" s="33" t="s">
        <v>1114</v>
      </c>
      <c r="B67" s="33" t="s">
        <v>991</v>
      </c>
      <c r="C67" s="33" t="s">
        <v>1115</v>
      </c>
      <c r="D67" s="33" t="s">
        <v>993</v>
      </c>
      <c r="E67" s="33"/>
      <c r="F67" s="33"/>
      <c r="G67" s="33"/>
      <c r="H67" s="33"/>
      <c r="I67" s="33"/>
      <c r="J67" s="33"/>
      <c r="K67" s="33"/>
    </row>
    <row r="68" spans="1:11" ht="15.75">
      <c r="A68" s="33" t="s">
        <v>1116</v>
      </c>
      <c r="B68" s="33" t="s">
        <v>991</v>
      </c>
      <c r="C68" s="33" t="s">
        <v>1117</v>
      </c>
      <c r="D68" s="33" t="s">
        <v>993</v>
      </c>
      <c r="E68" s="33"/>
      <c r="F68" s="33"/>
      <c r="G68" s="33"/>
      <c r="H68" s="33"/>
      <c r="I68" s="33"/>
      <c r="J68" s="33"/>
      <c r="K68" s="33"/>
    </row>
    <row r="69" spans="1:11" ht="15.75">
      <c r="A69" s="33" t="s">
        <v>1118</v>
      </c>
      <c r="B69" s="33" t="s">
        <v>991</v>
      </c>
      <c r="C69" s="33" t="s">
        <v>1119</v>
      </c>
      <c r="D69" s="33" t="s">
        <v>993</v>
      </c>
      <c r="E69" s="33"/>
      <c r="F69" s="33"/>
      <c r="G69" s="33"/>
      <c r="H69" s="33"/>
      <c r="I69" s="33"/>
      <c r="J69" s="33"/>
      <c r="K69" s="33"/>
    </row>
    <row r="70" spans="1:11" ht="15.75">
      <c r="A70" s="33" t="s">
        <v>1120</v>
      </c>
      <c r="B70" s="33" t="s">
        <v>991</v>
      </c>
      <c r="C70" s="33" t="s">
        <v>1121</v>
      </c>
      <c r="D70" s="33" t="s">
        <v>993</v>
      </c>
      <c r="E70" s="33"/>
      <c r="F70" s="33"/>
      <c r="G70" s="33"/>
      <c r="H70" s="33"/>
      <c r="I70" s="33"/>
      <c r="J70" s="33"/>
      <c r="K70" s="33"/>
    </row>
    <row r="71" spans="1:11" ht="15.75">
      <c r="A71" s="33" t="s">
        <v>1122</v>
      </c>
      <c r="B71" s="33" t="s">
        <v>991</v>
      </c>
      <c r="C71" s="33" t="s">
        <v>1123</v>
      </c>
      <c r="D71" s="33" t="s">
        <v>993</v>
      </c>
      <c r="E71" s="33"/>
      <c r="F71" s="33"/>
      <c r="G71" s="33"/>
      <c r="H71" s="33"/>
      <c r="I71" s="33"/>
      <c r="J71" s="33"/>
      <c r="K71" s="33"/>
    </row>
    <row r="72" spans="1:11" ht="15.75">
      <c r="A72" s="33" t="s">
        <v>1124</v>
      </c>
      <c r="B72" s="33" t="s">
        <v>991</v>
      </c>
      <c r="C72" s="33" t="s">
        <v>1125</v>
      </c>
      <c r="D72" s="33" t="s">
        <v>993</v>
      </c>
      <c r="E72" s="33"/>
      <c r="F72" s="33"/>
      <c r="G72" s="33"/>
      <c r="H72" s="33"/>
      <c r="I72" s="33"/>
      <c r="J72" s="33"/>
      <c r="K72" s="33"/>
    </row>
    <row r="73" spans="1:11" ht="15.75">
      <c r="A73" s="33" t="s">
        <v>1126</v>
      </c>
      <c r="B73" s="33" t="s">
        <v>991</v>
      </c>
      <c r="C73" s="33" t="s">
        <v>1127</v>
      </c>
      <c r="D73" s="33" t="s">
        <v>993</v>
      </c>
      <c r="E73" s="33"/>
      <c r="F73" s="33"/>
      <c r="G73" s="33"/>
      <c r="H73" s="33"/>
      <c r="I73" s="33"/>
      <c r="J73" s="33"/>
      <c r="K73" s="33"/>
    </row>
    <row r="74" spans="1:11" ht="15.75">
      <c r="A74" s="33" t="s">
        <v>1128</v>
      </c>
      <c r="B74" s="33" t="s">
        <v>991</v>
      </c>
      <c r="C74" s="33" t="s">
        <v>1129</v>
      </c>
      <c r="D74" s="33" t="s">
        <v>993</v>
      </c>
      <c r="E74" s="33"/>
      <c r="F74" s="33"/>
      <c r="G74" s="33"/>
      <c r="H74" s="33"/>
      <c r="I74" s="33"/>
      <c r="J74" s="33"/>
      <c r="K74" s="33"/>
    </row>
    <row r="75" spans="1:11" ht="15.75">
      <c r="A75" s="33" t="s">
        <v>1130</v>
      </c>
      <c r="B75" s="33" t="s">
        <v>991</v>
      </c>
      <c r="C75" s="33" t="s">
        <v>1131</v>
      </c>
      <c r="D75" s="33" t="s">
        <v>993</v>
      </c>
      <c r="E75" s="33"/>
      <c r="F75" s="33"/>
      <c r="G75" s="33"/>
      <c r="H75" s="33"/>
      <c r="I75" s="33"/>
      <c r="J75" s="33"/>
      <c r="K75" s="33"/>
    </row>
    <row r="76" spans="1:11" ht="15.75">
      <c r="A76" s="33" t="s">
        <v>925</v>
      </c>
      <c r="B76" s="33" t="s">
        <v>991</v>
      </c>
      <c r="C76" s="33" t="s">
        <v>1132</v>
      </c>
      <c r="D76" s="33" t="s">
        <v>1005</v>
      </c>
      <c r="E76" s="33"/>
      <c r="F76" s="33"/>
      <c r="G76" s="33"/>
      <c r="H76" s="33"/>
      <c r="I76" s="33"/>
      <c r="J76" s="33"/>
      <c r="K76" s="33"/>
    </row>
    <row r="77" spans="1:11" ht="15.75">
      <c r="A77" s="33" t="s">
        <v>1133</v>
      </c>
      <c r="B77" s="33" t="s">
        <v>991</v>
      </c>
      <c r="C77" s="33" t="s">
        <v>1134</v>
      </c>
      <c r="D77" s="33" t="s">
        <v>993</v>
      </c>
      <c r="E77" s="33"/>
      <c r="F77" s="33"/>
      <c r="G77" s="33"/>
      <c r="H77" s="33"/>
      <c r="I77" s="33"/>
      <c r="J77" s="33"/>
      <c r="K77" s="33"/>
    </row>
    <row r="78" spans="1:11" ht="15.75">
      <c r="A78" s="33" t="s">
        <v>1135</v>
      </c>
      <c r="B78" s="33" t="s">
        <v>991</v>
      </c>
      <c r="C78" s="33" t="s">
        <v>1136</v>
      </c>
      <c r="D78" s="33" t="s">
        <v>993</v>
      </c>
      <c r="E78" s="33"/>
      <c r="F78" s="33"/>
      <c r="G78" s="33"/>
      <c r="H78" s="33"/>
      <c r="I78" s="33"/>
      <c r="J78" s="33"/>
      <c r="K78" s="33"/>
    </row>
    <row r="79" spans="1:11" ht="15.75">
      <c r="A79" s="33" t="s">
        <v>1137</v>
      </c>
      <c r="B79" s="33" t="s">
        <v>991</v>
      </c>
      <c r="C79" s="33" t="s">
        <v>1138</v>
      </c>
      <c r="D79" s="33" t="s">
        <v>993</v>
      </c>
      <c r="E79" s="33"/>
      <c r="F79" s="33"/>
      <c r="G79" s="33"/>
      <c r="H79" s="33"/>
      <c r="I79" s="33"/>
      <c r="J79" s="33"/>
      <c r="K79" s="33"/>
    </row>
    <row r="80" spans="1:11" ht="15.75">
      <c r="A80" s="33" t="s">
        <v>973</v>
      </c>
      <c r="B80" s="33" t="s">
        <v>991</v>
      </c>
      <c r="C80" s="33" t="s">
        <v>1139</v>
      </c>
      <c r="D80" s="33" t="s">
        <v>1005</v>
      </c>
      <c r="E80" s="33"/>
      <c r="F80" s="33"/>
      <c r="G80" s="33"/>
      <c r="H80" s="33"/>
      <c r="I80" s="33"/>
      <c r="J80" s="33"/>
      <c r="K80" s="33"/>
    </row>
    <row r="81" spans="1:11" ht="15.75">
      <c r="A81" s="33" t="s">
        <v>952</v>
      </c>
      <c r="B81" s="33" t="s">
        <v>991</v>
      </c>
      <c r="C81" s="33" t="s">
        <v>1140</v>
      </c>
      <c r="D81" s="33" t="s">
        <v>1005</v>
      </c>
      <c r="E81" s="33"/>
      <c r="F81" s="33"/>
      <c r="G81" s="33"/>
      <c r="H81" s="33"/>
      <c r="I81" s="33"/>
      <c r="J81" s="33"/>
      <c r="K81" s="33"/>
    </row>
    <row r="82" spans="1:11" ht="15.75">
      <c r="A82" s="33" t="s">
        <v>956</v>
      </c>
      <c r="B82" s="33" t="s">
        <v>991</v>
      </c>
      <c r="C82" s="33" t="s">
        <v>1141</v>
      </c>
      <c r="D82" s="33" t="s">
        <v>1005</v>
      </c>
      <c r="E82" s="33"/>
      <c r="F82" s="33"/>
      <c r="G82" s="33"/>
      <c r="H82" s="33"/>
      <c r="I82" s="33"/>
      <c r="J82" s="33"/>
      <c r="K82" s="33"/>
    </row>
    <row r="83" spans="1:11" ht="15.75">
      <c r="A83" s="33" t="s">
        <v>1142</v>
      </c>
      <c r="B83" s="33" t="s">
        <v>991</v>
      </c>
      <c r="C83" s="33" t="s">
        <v>1143</v>
      </c>
      <c r="D83" s="33" t="s">
        <v>993</v>
      </c>
      <c r="E83" s="33"/>
      <c r="F83" s="33"/>
      <c r="G83" s="33"/>
      <c r="H83" s="33"/>
      <c r="I83" s="33"/>
      <c r="J83" s="33"/>
      <c r="K83" s="33"/>
    </row>
    <row r="84" spans="1:11" ht="15.75">
      <c r="A84" s="33" t="s">
        <v>1144</v>
      </c>
      <c r="B84" s="33" t="s">
        <v>991</v>
      </c>
      <c r="C84" s="33" t="s">
        <v>1145</v>
      </c>
      <c r="D84" s="33" t="s">
        <v>993</v>
      </c>
      <c r="E84" s="33"/>
      <c r="F84" s="33"/>
      <c r="G84" s="33"/>
      <c r="H84" s="33"/>
      <c r="I84" s="33"/>
      <c r="J84" s="33"/>
      <c r="K84" s="33"/>
    </row>
    <row r="85" spans="1:11" ht="15.75">
      <c r="A85" s="33" t="s">
        <v>953</v>
      </c>
      <c r="B85" s="33" t="s">
        <v>991</v>
      </c>
      <c r="C85" s="33" t="s">
        <v>1146</v>
      </c>
      <c r="D85" s="33" t="s">
        <v>1005</v>
      </c>
      <c r="E85" s="33"/>
      <c r="F85" s="33"/>
      <c r="G85" s="33"/>
      <c r="H85" s="33"/>
      <c r="I85" s="33"/>
      <c r="J85" s="33"/>
      <c r="K85" s="33"/>
    </row>
    <row r="86" spans="1:11" ht="15.75">
      <c r="A86" s="33" t="s">
        <v>1147</v>
      </c>
      <c r="B86" s="33" t="s">
        <v>991</v>
      </c>
      <c r="C86" s="33" t="s">
        <v>1148</v>
      </c>
      <c r="D86" s="33" t="s">
        <v>993</v>
      </c>
      <c r="E86" s="33"/>
      <c r="F86" s="33"/>
      <c r="G86" s="33"/>
      <c r="H86" s="33"/>
      <c r="I86" s="33"/>
      <c r="J86" s="33"/>
      <c r="K86" s="33"/>
    </row>
    <row r="87" spans="1:11" ht="15.75">
      <c r="A87" s="33" t="s">
        <v>1149</v>
      </c>
      <c r="B87" s="33" t="s">
        <v>991</v>
      </c>
      <c r="C87" s="33" t="s">
        <v>1150</v>
      </c>
      <c r="D87" s="33" t="s">
        <v>993</v>
      </c>
      <c r="E87" s="33"/>
      <c r="F87" s="33"/>
      <c r="G87" s="33"/>
      <c r="H87" s="33"/>
      <c r="I87" s="33"/>
      <c r="J87" s="33"/>
      <c r="K87" s="33"/>
    </row>
    <row r="88" spans="1:11" ht="15.75">
      <c r="A88" s="33" t="s">
        <v>1151</v>
      </c>
      <c r="B88" s="33" t="s">
        <v>991</v>
      </c>
      <c r="C88" s="33" t="s">
        <v>1152</v>
      </c>
      <c r="D88" s="33" t="s">
        <v>993</v>
      </c>
      <c r="E88" s="33"/>
      <c r="F88" s="33"/>
      <c r="G88" s="33"/>
      <c r="H88" s="33"/>
      <c r="I88" s="33"/>
      <c r="J88" s="33"/>
      <c r="K88" s="33"/>
    </row>
    <row r="89" spans="1:11" ht="15.75">
      <c r="A89" s="33" t="s">
        <v>1153</v>
      </c>
      <c r="B89" s="33" t="s">
        <v>991</v>
      </c>
      <c r="C89" s="33" t="s">
        <v>1154</v>
      </c>
      <c r="D89" s="33" t="s">
        <v>993</v>
      </c>
      <c r="E89" s="33"/>
      <c r="F89" s="33"/>
      <c r="G89" s="33"/>
      <c r="H89" s="33"/>
      <c r="I89" s="33"/>
      <c r="J89" s="33"/>
      <c r="K89" s="33"/>
    </row>
    <row r="90" spans="1:11" ht="15.75">
      <c r="A90" s="33" t="s">
        <v>1155</v>
      </c>
      <c r="B90" s="33" t="s">
        <v>991</v>
      </c>
      <c r="C90" s="33" t="s">
        <v>1156</v>
      </c>
      <c r="D90" s="33" t="s">
        <v>993</v>
      </c>
      <c r="E90" s="33"/>
      <c r="F90" s="33"/>
      <c r="G90" s="33"/>
      <c r="H90" s="33"/>
      <c r="I90" s="33"/>
      <c r="J90" s="33"/>
      <c r="K90" s="33"/>
    </row>
    <row r="91" spans="1:11" ht="15.75">
      <c r="A91" s="33" t="s">
        <v>1157</v>
      </c>
      <c r="B91" s="33" t="s">
        <v>991</v>
      </c>
      <c r="C91" s="33" t="s">
        <v>1158</v>
      </c>
      <c r="D91" s="33" t="s">
        <v>993</v>
      </c>
      <c r="E91" s="33"/>
      <c r="F91" s="33"/>
      <c r="G91" s="33"/>
      <c r="H91" s="33"/>
      <c r="I91" s="33"/>
      <c r="J91" s="33"/>
      <c r="K91" s="33"/>
    </row>
    <row r="92" spans="1:11" ht="15.75">
      <c r="A92" s="33" t="s">
        <v>1159</v>
      </c>
      <c r="B92" s="33" t="s">
        <v>991</v>
      </c>
      <c r="C92" s="33" t="s">
        <v>1160</v>
      </c>
      <c r="D92" s="33" t="s">
        <v>993</v>
      </c>
      <c r="E92" s="33"/>
      <c r="F92" s="33"/>
      <c r="G92" s="33"/>
      <c r="H92" s="33"/>
      <c r="I92" s="33"/>
      <c r="J92" s="33"/>
      <c r="K92" s="33"/>
    </row>
    <row r="93" spans="1:11" ht="15.75">
      <c r="A93" s="33" t="s">
        <v>1161</v>
      </c>
      <c r="B93" s="33" t="s">
        <v>991</v>
      </c>
      <c r="C93" s="33" t="s">
        <v>1162</v>
      </c>
      <c r="D93" s="33" t="s">
        <v>993</v>
      </c>
      <c r="E93" s="33"/>
      <c r="F93" s="33"/>
      <c r="G93" s="33"/>
      <c r="H93" s="33"/>
      <c r="I93" s="33"/>
      <c r="J93" s="33"/>
      <c r="K93" s="33"/>
    </row>
    <row r="94" spans="1:11" ht="15.75">
      <c r="A94" s="33" t="s">
        <v>1163</v>
      </c>
      <c r="B94" s="33" t="s">
        <v>991</v>
      </c>
      <c r="C94" s="33" t="s">
        <v>1164</v>
      </c>
      <c r="D94" s="33" t="s">
        <v>993</v>
      </c>
      <c r="E94" s="33"/>
      <c r="F94" s="33"/>
      <c r="G94" s="33"/>
      <c r="H94" s="33"/>
      <c r="I94" s="33"/>
      <c r="J94" s="33"/>
      <c r="K94" s="33"/>
    </row>
    <row r="95" spans="1:11" ht="15.75">
      <c r="A95" s="33" t="s">
        <v>931</v>
      </c>
      <c r="B95" s="33" t="s">
        <v>991</v>
      </c>
      <c r="C95" s="33" t="s">
        <v>1165</v>
      </c>
      <c r="D95" s="33" t="s">
        <v>1005</v>
      </c>
      <c r="E95" s="33"/>
      <c r="F95" s="33"/>
      <c r="G95" s="33"/>
      <c r="H95" s="33"/>
      <c r="I95" s="33"/>
      <c r="J95" s="33"/>
      <c r="K95" s="33"/>
    </row>
    <row r="96" spans="1:11" ht="15.75">
      <c r="A96" s="33" t="s">
        <v>1166</v>
      </c>
      <c r="B96" s="33" t="s">
        <v>991</v>
      </c>
      <c r="C96" s="33" t="s">
        <v>1167</v>
      </c>
      <c r="D96" s="33" t="s">
        <v>993</v>
      </c>
      <c r="E96" s="33"/>
      <c r="F96" s="33"/>
      <c r="G96" s="33"/>
      <c r="H96" s="33"/>
      <c r="I96" s="33"/>
      <c r="J96" s="33"/>
      <c r="K96" s="33"/>
    </row>
    <row r="97" spans="1:11" ht="15.75">
      <c r="A97" s="33" t="s">
        <v>1168</v>
      </c>
      <c r="B97" s="33" t="s">
        <v>991</v>
      </c>
      <c r="C97" s="33" t="s">
        <v>1169</v>
      </c>
      <c r="D97" s="33" t="s">
        <v>993</v>
      </c>
      <c r="E97" s="33"/>
      <c r="F97" s="33"/>
      <c r="G97" s="33"/>
      <c r="H97" s="33"/>
      <c r="I97" s="33"/>
      <c r="J97" s="33"/>
      <c r="K97" s="33"/>
    </row>
    <row r="98" spans="1:11" ht="15.75">
      <c r="A98" s="33" t="s">
        <v>1170</v>
      </c>
      <c r="B98" s="33" t="s">
        <v>991</v>
      </c>
      <c r="C98" s="33" t="s">
        <v>1171</v>
      </c>
      <c r="D98" s="33" t="s">
        <v>993</v>
      </c>
      <c r="E98" s="33"/>
      <c r="F98" s="33"/>
      <c r="G98" s="33"/>
      <c r="H98" s="33"/>
      <c r="I98" s="33"/>
      <c r="J98" s="33"/>
      <c r="K98" s="33"/>
    </row>
    <row r="99" spans="1:11" ht="15.75">
      <c r="A99" s="33" t="s">
        <v>1172</v>
      </c>
      <c r="B99" s="33" t="s">
        <v>991</v>
      </c>
      <c r="C99" s="33" t="s">
        <v>1173</v>
      </c>
      <c r="D99" s="33" t="s">
        <v>993</v>
      </c>
      <c r="E99" s="33"/>
      <c r="F99" s="33"/>
      <c r="G99" s="33"/>
      <c r="H99" s="33"/>
      <c r="I99" s="33"/>
      <c r="J99" s="33"/>
      <c r="K99" s="33"/>
    </row>
    <row r="100" spans="1:11" ht="15.75">
      <c r="A100" s="33" t="s">
        <v>1174</v>
      </c>
      <c r="B100" s="33" t="s">
        <v>991</v>
      </c>
      <c r="C100" s="33" t="s">
        <v>1175</v>
      </c>
      <c r="D100" s="33" t="s">
        <v>993</v>
      </c>
      <c r="E100" s="33"/>
      <c r="F100" s="33"/>
      <c r="G100" s="33"/>
      <c r="H100" s="33"/>
      <c r="I100" s="33"/>
      <c r="J100" s="33"/>
      <c r="K100" s="33"/>
    </row>
    <row r="101" spans="1:11" ht="15.75">
      <c r="A101" s="33" t="s">
        <v>1176</v>
      </c>
      <c r="B101" s="33" t="s">
        <v>991</v>
      </c>
      <c r="C101" s="33" t="s">
        <v>1177</v>
      </c>
      <c r="D101" s="33" t="s">
        <v>993</v>
      </c>
      <c r="E101" s="33"/>
      <c r="F101" s="33"/>
      <c r="G101" s="33"/>
      <c r="H101" s="33"/>
      <c r="I101" s="33"/>
      <c r="J101" s="33"/>
      <c r="K101" s="33"/>
    </row>
    <row r="102" spans="1:11" ht="15.75">
      <c r="A102" s="33" t="s">
        <v>1178</v>
      </c>
      <c r="B102" s="33" t="s">
        <v>991</v>
      </c>
      <c r="C102" s="33" t="s">
        <v>1179</v>
      </c>
      <c r="D102" s="33" t="s">
        <v>993</v>
      </c>
      <c r="E102" s="33"/>
      <c r="F102" s="33"/>
      <c r="G102" s="33"/>
      <c r="H102" s="33"/>
      <c r="I102" s="33"/>
      <c r="J102" s="33"/>
      <c r="K102" s="33"/>
    </row>
    <row r="103" spans="1:11" ht="15.75">
      <c r="A103" s="33" t="s">
        <v>1180</v>
      </c>
      <c r="B103" s="33" t="s">
        <v>991</v>
      </c>
      <c r="C103" s="33" t="s">
        <v>1181</v>
      </c>
      <c r="D103" s="33" t="s">
        <v>993</v>
      </c>
      <c r="E103" s="33"/>
      <c r="F103" s="33"/>
      <c r="G103" s="33"/>
      <c r="H103" s="33"/>
      <c r="I103" s="33"/>
      <c r="J103" s="33"/>
      <c r="K103" s="33"/>
    </row>
    <row r="104" spans="1:11" ht="15.75">
      <c r="A104" s="33" t="s">
        <v>1182</v>
      </c>
      <c r="B104" s="33" t="s">
        <v>991</v>
      </c>
      <c r="C104" s="33" t="s">
        <v>1183</v>
      </c>
      <c r="D104" s="33" t="s">
        <v>993</v>
      </c>
      <c r="E104" s="33"/>
      <c r="F104" s="33"/>
      <c r="G104" s="33"/>
      <c r="H104" s="33"/>
      <c r="I104" s="33"/>
      <c r="J104" s="33"/>
      <c r="K104" s="33"/>
    </row>
    <row r="105" spans="1:11" ht="15.75">
      <c r="A105" s="33" t="s">
        <v>1184</v>
      </c>
      <c r="B105" s="33" t="s">
        <v>991</v>
      </c>
      <c r="C105" s="33" t="s">
        <v>1185</v>
      </c>
      <c r="D105" s="33" t="s">
        <v>993</v>
      </c>
      <c r="E105" s="33"/>
      <c r="F105" s="33"/>
      <c r="G105" s="33"/>
      <c r="H105" s="33"/>
      <c r="I105" s="33"/>
      <c r="J105" s="33"/>
      <c r="K105" s="33"/>
    </row>
    <row r="106" spans="1:11" ht="15.75">
      <c r="A106" s="33" t="s">
        <v>1186</v>
      </c>
      <c r="B106" s="33" t="s">
        <v>991</v>
      </c>
      <c r="C106" s="33" t="s">
        <v>1187</v>
      </c>
      <c r="D106" s="33" t="s">
        <v>993</v>
      </c>
      <c r="E106" s="33"/>
      <c r="F106" s="33"/>
      <c r="G106" s="33"/>
      <c r="H106" s="33"/>
      <c r="I106" s="33"/>
      <c r="J106" s="33"/>
      <c r="K106" s="33"/>
    </row>
    <row r="107" spans="1:11" ht="15.75">
      <c r="A107" s="33" t="s">
        <v>1188</v>
      </c>
      <c r="B107" s="33" t="s">
        <v>991</v>
      </c>
      <c r="C107" s="33" t="s">
        <v>1189</v>
      </c>
      <c r="D107" s="33" t="s">
        <v>993</v>
      </c>
      <c r="E107" s="33"/>
      <c r="F107" s="33"/>
      <c r="G107" s="33"/>
      <c r="H107" s="33"/>
      <c r="I107" s="33"/>
      <c r="J107" s="33"/>
      <c r="K107" s="33"/>
    </row>
    <row r="108" spans="1:11" ht="15.75">
      <c r="A108" s="33" t="s">
        <v>1190</v>
      </c>
      <c r="B108" s="33" t="s">
        <v>991</v>
      </c>
      <c r="C108" s="33" t="s">
        <v>1191</v>
      </c>
      <c r="D108" s="33" t="s">
        <v>993</v>
      </c>
      <c r="E108" s="33"/>
      <c r="F108" s="33"/>
      <c r="G108" s="33"/>
      <c r="H108" s="33"/>
      <c r="I108" s="33"/>
      <c r="J108" s="33"/>
      <c r="K108" s="33"/>
    </row>
    <row r="109" spans="1:11" ht="15.75">
      <c r="A109" s="33" t="s">
        <v>1192</v>
      </c>
      <c r="B109" s="33" t="s">
        <v>991</v>
      </c>
      <c r="C109" s="33" t="s">
        <v>1193</v>
      </c>
      <c r="D109" s="33" t="s">
        <v>993</v>
      </c>
      <c r="E109" s="33"/>
      <c r="F109" s="33"/>
      <c r="G109" s="33"/>
      <c r="H109" s="33"/>
      <c r="I109" s="33"/>
      <c r="J109" s="33"/>
      <c r="K109" s="33"/>
    </row>
    <row r="110" spans="1:11" ht="15.75">
      <c r="A110" s="33" t="s">
        <v>947</v>
      </c>
      <c r="B110" s="33" t="s">
        <v>991</v>
      </c>
      <c r="C110" s="33" t="s">
        <v>1194</v>
      </c>
      <c r="D110" s="33" t="s">
        <v>1005</v>
      </c>
      <c r="E110" s="33"/>
      <c r="F110" s="33"/>
      <c r="G110" s="33"/>
      <c r="H110" s="33"/>
      <c r="I110" s="33"/>
      <c r="J110" s="33"/>
      <c r="K110" s="33"/>
    </row>
    <row r="111" spans="1:11" ht="15.75">
      <c r="A111" s="33" t="s">
        <v>1195</v>
      </c>
      <c r="B111" s="33" t="s">
        <v>991</v>
      </c>
      <c r="C111" s="33" t="s">
        <v>1196</v>
      </c>
      <c r="D111" s="33" t="s">
        <v>993</v>
      </c>
      <c r="E111" s="33"/>
      <c r="F111" s="33"/>
      <c r="G111" s="33"/>
      <c r="H111" s="33"/>
      <c r="I111" s="33"/>
      <c r="J111" s="33"/>
      <c r="K111" s="33"/>
    </row>
    <row r="112" spans="1:11" ht="15.75">
      <c r="A112" s="33" t="s">
        <v>1197</v>
      </c>
      <c r="B112" s="33" t="s">
        <v>991</v>
      </c>
      <c r="C112" s="33" t="s">
        <v>1198</v>
      </c>
      <c r="D112" s="33" t="s">
        <v>993</v>
      </c>
      <c r="E112" s="33"/>
      <c r="F112" s="33"/>
      <c r="G112" s="33"/>
      <c r="H112" s="33"/>
      <c r="I112" s="33"/>
      <c r="J112" s="33"/>
      <c r="K112" s="33"/>
    </row>
    <row r="113" spans="1:11" ht="15.75">
      <c r="A113" s="33" t="s">
        <v>1199</v>
      </c>
      <c r="B113" s="33" t="s">
        <v>991</v>
      </c>
      <c r="C113" s="33" t="s">
        <v>1200</v>
      </c>
      <c r="D113" s="33" t="s">
        <v>993</v>
      </c>
      <c r="E113" s="33"/>
      <c r="F113" s="33"/>
      <c r="G113" s="33"/>
      <c r="H113" s="33"/>
      <c r="I113" s="33"/>
      <c r="J113" s="33"/>
      <c r="K113" s="33"/>
    </row>
    <row r="114" spans="1:11" ht="15.75">
      <c r="A114" s="33" t="s">
        <v>1201</v>
      </c>
      <c r="B114" s="33" t="s">
        <v>991</v>
      </c>
      <c r="C114" s="33" t="s">
        <v>1202</v>
      </c>
      <c r="D114" s="33" t="s">
        <v>993</v>
      </c>
      <c r="E114" s="33"/>
      <c r="F114" s="33"/>
      <c r="G114" s="33"/>
      <c r="H114" s="33"/>
      <c r="I114" s="33"/>
      <c r="J114" s="33"/>
      <c r="K114" s="33"/>
    </row>
    <row r="115" spans="1:11" ht="15.75">
      <c r="A115" s="33" t="s">
        <v>1203</v>
      </c>
      <c r="B115" s="33" t="s">
        <v>991</v>
      </c>
      <c r="C115" s="33" t="s">
        <v>1204</v>
      </c>
      <c r="D115" s="33" t="s">
        <v>993</v>
      </c>
      <c r="E115" s="33"/>
      <c r="F115" s="33"/>
      <c r="G115" s="33"/>
      <c r="H115" s="33"/>
      <c r="I115" s="33"/>
      <c r="J115" s="33"/>
      <c r="K115" s="33"/>
    </row>
    <row r="116" spans="1:11" ht="15.75">
      <c r="A116" s="33" t="s">
        <v>1205</v>
      </c>
      <c r="B116" s="33" t="s">
        <v>991</v>
      </c>
      <c r="C116" s="33" t="s">
        <v>1206</v>
      </c>
      <c r="D116" s="33" t="s">
        <v>993</v>
      </c>
      <c r="E116" s="33"/>
      <c r="F116" s="33"/>
      <c r="G116" s="33"/>
      <c r="H116" s="33"/>
      <c r="I116" s="33"/>
      <c r="J116" s="33"/>
      <c r="K116" s="33"/>
    </row>
    <row r="117" spans="1:11" ht="15.75">
      <c r="A117" s="33" t="s">
        <v>1207</v>
      </c>
      <c r="B117" s="33" t="s">
        <v>991</v>
      </c>
      <c r="C117" s="33" t="s">
        <v>1208</v>
      </c>
      <c r="D117" s="33" t="s">
        <v>993</v>
      </c>
      <c r="E117" s="33"/>
      <c r="F117" s="33"/>
      <c r="G117" s="33"/>
      <c r="H117" s="33"/>
      <c r="I117" s="33"/>
      <c r="J117" s="33"/>
      <c r="K117" s="33"/>
    </row>
    <row r="118" spans="1:11" ht="15.75">
      <c r="A118" s="33" t="s">
        <v>1209</v>
      </c>
      <c r="B118" s="33" t="s">
        <v>991</v>
      </c>
      <c r="C118" s="33" t="s">
        <v>1210</v>
      </c>
      <c r="D118" s="33" t="s">
        <v>993</v>
      </c>
      <c r="E118" s="33"/>
      <c r="F118" s="33"/>
      <c r="G118" s="33"/>
      <c r="H118" s="33"/>
      <c r="I118" s="33"/>
      <c r="J118" s="33"/>
      <c r="K118" s="33"/>
    </row>
    <row r="119" spans="1:11" ht="15.75">
      <c r="A119" s="33" t="s">
        <v>1211</v>
      </c>
      <c r="B119" s="33" t="s">
        <v>991</v>
      </c>
      <c r="C119" s="33" t="s">
        <v>1212</v>
      </c>
      <c r="D119" s="33" t="s">
        <v>993</v>
      </c>
      <c r="E119" s="33"/>
      <c r="F119" s="33"/>
      <c r="G119" s="33"/>
      <c r="H119" s="33"/>
      <c r="I119" s="33"/>
      <c r="J119" s="33"/>
      <c r="K119" s="33"/>
    </row>
    <row r="120" spans="1:11" ht="15.75">
      <c r="A120" s="33" t="s">
        <v>1213</v>
      </c>
      <c r="B120" s="33" t="s">
        <v>991</v>
      </c>
      <c r="C120" s="33" t="s">
        <v>1214</v>
      </c>
      <c r="D120" s="33" t="s">
        <v>993</v>
      </c>
      <c r="E120" s="33"/>
      <c r="F120" s="33"/>
      <c r="G120" s="33"/>
      <c r="H120" s="33"/>
      <c r="I120" s="33"/>
      <c r="J120" s="33"/>
      <c r="K120" s="33"/>
    </row>
    <row r="121" spans="1:11" ht="15.75">
      <c r="A121" s="33" t="s">
        <v>1215</v>
      </c>
      <c r="B121" s="33" t="s">
        <v>991</v>
      </c>
      <c r="C121" s="33" t="s">
        <v>1216</v>
      </c>
      <c r="D121" s="33" t="s">
        <v>1005</v>
      </c>
      <c r="E121" s="33"/>
      <c r="F121" s="33"/>
      <c r="G121" s="33"/>
      <c r="H121" s="33"/>
      <c r="I121" s="33"/>
      <c r="J121" s="33"/>
      <c r="K121" s="33"/>
    </row>
    <row r="122" spans="1:11" ht="15.75">
      <c r="A122" s="33" t="s">
        <v>1217</v>
      </c>
      <c r="B122" s="33" t="s">
        <v>991</v>
      </c>
      <c r="C122" s="33" t="s">
        <v>1218</v>
      </c>
      <c r="D122" s="33" t="s">
        <v>993</v>
      </c>
      <c r="E122" s="33"/>
      <c r="F122" s="33"/>
      <c r="G122" s="33"/>
      <c r="H122" s="33"/>
      <c r="I122" s="33"/>
      <c r="J122" s="33"/>
      <c r="K122" s="33"/>
    </row>
    <row r="123" spans="1:11" ht="15.75">
      <c r="A123" s="33" t="s">
        <v>1219</v>
      </c>
      <c r="B123" s="33" t="s">
        <v>991</v>
      </c>
      <c r="C123" s="33" t="s">
        <v>1220</v>
      </c>
      <c r="D123" s="33" t="s">
        <v>993</v>
      </c>
      <c r="E123" s="33"/>
      <c r="F123" s="33"/>
      <c r="G123" s="33"/>
      <c r="H123" s="33"/>
      <c r="I123" s="33"/>
      <c r="J123" s="33"/>
      <c r="K123" s="33"/>
    </row>
    <row r="124" spans="1:11" ht="15.75">
      <c r="A124" s="33" t="s">
        <v>976</v>
      </c>
      <c r="B124" s="33" t="s">
        <v>991</v>
      </c>
      <c r="C124" s="33" t="s">
        <v>1221</v>
      </c>
      <c r="D124" s="33" t="s">
        <v>1005</v>
      </c>
      <c r="E124" s="33"/>
      <c r="F124" s="33"/>
      <c r="G124" s="33"/>
      <c r="H124" s="33"/>
      <c r="I124" s="33"/>
      <c r="J124" s="33"/>
      <c r="K124" s="33"/>
    </row>
    <row r="125" spans="1:11" ht="15.75">
      <c r="A125" s="33" t="s">
        <v>1222</v>
      </c>
      <c r="B125" s="33" t="s">
        <v>991</v>
      </c>
      <c r="C125" s="33" t="s">
        <v>1223</v>
      </c>
      <c r="D125" s="33" t="s">
        <v>1005</v>
      </c>
      <c r="E125" s="33"/>
      <c r="F125" s="33"/>
      <c r="G125" s="33"/>
      <c r="H125" s="33"/>
      <c r="I125" s="33"/>
      <c r="J125" s="33"/>
      <c r="K125" s="33"/>
    </row>
    <row r="126" spans="1:11" ht="15.75">
      <c r="A126" s="33" t="s">
        <v>1224</v>
      </c>
      <c r="B126" s="33" t="s">
        <v>991</v>
      </c>
      <c r="C126" s="33" t="s">
        <v>1225</v>
      </c>
      <c r="D126" s="33" t="s">
        <v>993</v>
      </c>
      <c r="E126" s="33"/>
      <c r="F126" s="33"/>
      <c r="G126" s="33"/>
      <c r="H126" s="33"/>
      <c r="I126" s="33"/>
      <c r="J126" s="33"/>
      <c r="K126" s="33"/>
    </row>
    <row r="127" spans="1:11" ht="15.75">
      <c r="A127" s="33" t="s">
        <v>1226</v>
      </c>
      <c r="B127" s="33" t="s">
        <v>991</v>
      </c>
      <c r="C127" s="33" t="s">
        <v>1227</v>
      </c>
      <c r="D127" s="33" t="s">
        <v>993</v>
      </c>
      <c r="E127" s="33"/>
      <c r="F127" s="33"/>
      <c r="G127" s="33"/>
      <c r="H127" s="33"/>
      <c r="I127" s="33"/>
      <c r="J127" s="33"/>
      <c r="K127" s="33"/>
    </row>
    <row r="128" spans="1:11" ht="15.75">
      <c r="A128" s="33" t="s">
        <v>1228</v>
      </c>
      <c r="B128" s="33" t="s">
        <v>991</v>
      </c>
      <c r="C128" s="33" t="s">
        <v>1229</v>
      </c>
      <c r="D128" s="33" t="s">
        <v>993</v>
      </c>
      <c r="E128" s="33"/>
      <c r="F128" s="33"/>
      <c r="G128" s="33"/>
      <c r="H128" s="33"/>
      <c r="I128" s="33"/>
      <c r="J128" s="33"/>
      <c r="K128" s="33"/>
    </row>
    <row r="129" spans="1:11" ht="15.75">
      <c r="A129" s="33" t="s">
        <v>1230</v>
      </c>
      <c r="B129" s="33" t="s">
        <v>991</v>
      </c>
      <c r="C129" s="33" t="s">
        <v>1231</v>
      </c>
      <c r="D129" s="33" t="s">
        <v>993</v>
      </c>
      <c r="E129" s="33"/>
      <c r="F129" s="33"/>
      <c r="G129" s="33"/>
      <c r="H129" s="33"/>
      <c r="I129" s="33"/>
      <c r="J129" s="33"/>
      <c r="K129" s="33"/>
    </row>
    <row r="130" spans="1:11" ht="15.75">
      <c r="A130" s="33" t="s">
        <v>1232</v>
      </c>
      <c r="B130" s="33" t="s">
        <v>991</v>
      </c>
      <c r="C130" s="33" t="s">
        <v>1233</v>
      </c>
      <c r="D130" s="33" t="s">
        <v>993</v>
      </c>
      <c r="E130" s="33"/>
      <c r="F130" s="33"/>
      <c r="G130" s="33"/>
      <c r="H130" s="33"/>
      <c r="I130" s="33"/>
      <c r="J130" s="33"/>
      <c r="K130" s="33"/>
    </row>
    <row r="131" spans="1:11" ht="15.75">
      <c r="A131" s="33" t="s">
        <v>1234</v>
      </c>
      <c r="B131" s="33" t="s">
        <v>991</v>
      </c>
      <c r="C131" s="33" t="s">
        <v>1235</v>
      </c>
      <c r="D131" s="33" t="s">
        <v>993</v>
      </c>
      <c r="E131" s="33"/>
      <c r="F131" s="33"/>
      <c r="G131" s="33"/>
      <c r="H131" s="33"/>
      <c r="I131" s="33"/>
      <c r="J131" s="33"/>
      <c r="K131" s="33"/>
    </row>
    <row r="132" spans="1:11" ht="15.75">
      <c r="A132" s="33" t="s">
        <v>1236</v>
      </c>
      <c r="B132" s="33" t="s">
        <v>991</v>
      </c>
      <c r="C132" s="33" t="s">
        <v>1237</v>
      </c>
      <c r="D132" s="33" t="s">
        <v>993</v>
      </c>
      <c r="E132" s="33"/>
      <c r="F132" s="33"/>
      <c r="G132" s="33"/>
      <c r="H132" s="33"/>
      <c r="I132" s="33"/>
      <c r="J132" s="33"/>
      <c r="K132" s="33"/>
    </row>
    <row r="133" spans="1:11" ht="15.75">
      <c r="A133" s="33" t="s">
        <v>1238</v>
      </c>
      <c r="B133" s="33" t="s">
        <v>991</v>
      </c>
      <c r="C133" s="33" t="s">
        <v>1239</v>
      </c>
      <c r="D133" s="33" t="s">
        <v>993</v>
      </c>
      <c r="E133" s="33"/>
      <c r="F133" s="33"/>
      <c r="G133" s="33"/>
      <c r="H133" s="33"/>
      <c r="I133" s="33"/>
      <c r="J133" s="33"/>
      <c r="K133" s="33"/>
    </row>
    <row r="134" spans="1:11" ht="15.75">
      <c r="A134" s="33" t="s">
        <v>1240</v>
      </c>
      <c r="B134" s="33" t="s">
        <v>991</v>
      </c>
      <c r="C134" s="33" t="s">
        <v>1241</v>
      </c>
      <c r="D134" s="33" t="s">
        <v>993</v>
      </c>
      <c r="E134" s="33"/>
      <c r="F134" s="33"/>
      <c r="G134" s="33"/>
      <c r="H134" s="33"/>
      <c r="I134" s="33"/>
      <c r="J134" s="33"/>
      <c r="K134" s="33"/>
    </row>
    <row r="135" spans="1:11" ht="15.75">
      <c r="A135" s="33" t="s">
        <v>1242</v>
      </c>
      <c r="B135" s="33" t="s">
        <v>991</v>
      </c>
      <c r="C135" s="33" t="s">
        <v>1243</v>
      </c>
      <c r="D135" s="33" t="s">
        <v>993</v>
      </c>
      <c r="E135" s="33"/>
      <c r="F135" s="33"/>
      <c r="G135" s="33"/>
      <c r="H135" s="33"/>
      <c r="I135" s="33"/>
      <c r="J135" s="33"/>
      <c r="K135" s="33"/>
    </row>
    <row r="136" spans="1:11" ht="15.75">
      <c r="A136" s="33" t="s">
        <v>1244</v>
      </c>
      <c r="B136" s="33" t="s">
        <v>991</v>
      </c>
      <c r="C136" s="33" t="s">
        <v>1245</v>
      </c>
      <c r="D136" s="33" t="s">
        <v>1246</v>
      </c>
      <c r="E136" s="33"/>
      <c r="F136" s="33"/>
      <c r="G136" s="33"/>
      <c r="H136" s="33"/>
      <c r="I136" s="33"/>
      <c r="J136" s="33"/>
      <c r="K136" s="33"/>
    </row>
    <row r="137" spans="1:11" ht="15.75">
      <c r="A137" s="33" t="s">
        <v>1247</v>
      </c>
      <c r="B137" s="33" t="s">
        <v>991</v>
      </c>
      <c r="C137" s="33" t="s">
        <v>1248</v>
      </c>
      <c r="D137" s="33" t="s">
        <v>993</v>
      </c>
      <c r="E137" s="33"/>
      <c r="F137" s="33"/>
      <c r="G137" s="33"/>
      <c r="H137" s="33"/>
      <c r="I137" s="33"/>
      <c r="J137" s="33"/>
      <c r="K137" s="33"/>
    </row>
    <row r="138" spans="1:11" ht="15.75">
      <c r="A138" s="33" t="s">
        <v>1249</v>
      </c>
      <c r="B138" s="33" t="s">
        <v>991</v>
      </c>
      <c r="C138" s="33" t="s">
        <v>1250</v>
      </c>
      <c r="D138" s="33" t="s">
        <v>993</v>
      </c>
      <c r="E138" s="33"/>
      <c r="F138" s="33"/>
      <c r="G138" s="33"/>
      <c r="H138" s="33"/>
      <c r="I138" s="33"/>
      <c r="J138" s="33"/>
      <c r="K138" s="33"/>
    </row>
    <row r="139" spans="1:11" ht="15.75">
      <c r="A139" s="33" t="s">
        <v>1251</v>
      </c>
      <c r="B139" s="33" t="s">
        <v>991</v>
      </c>
      <c r="C139" s="33" t="s">
        <v>1252</v>
      </c>
      <c r="D139" s="33" t="s">
        <v>993</v>
      </c>
      <c r="E139" s="33"/>
      <c r="F139" s="33"/>
      <c r="G139" s="33"/>
      <c r="H139" s="33"/>
      <c r="I139" s="33"/>
      <c r="J139" s="33"/>
      <c r="K139" s="33"/>
    </row>
    <row r="140" spans="1:11" ht="15.75">
      <c r="A140" s="33" t="s">
        <v>1253</v>
      </c>
      <c r="B140" s="33" t="s">
        <v>991</v>
      </c>
      <c r="C140" s="33" t="s">
        <v>1254</v>
      </c>
      <c r="D140" s="33" t="s">
        <v>993</v>
      </c>
      <c r="E140" s="33"/>
      <c r="F140" s="33"/>
      <c r="G140" s="33"/>
      <c r="H140" s="33"/>
      <c r="I140" s="33"/>
      <c r="J140" s="33"/>
      <c r="K140" s="33"/>
    </row>
    <row r="141" spans="1:11" ht="15.75">
      <c r="A141" s="33" t="s">
        <v>1255</v>
      </c>
      <c r="B141" s="33" t="s">
        <v>991</v>
      </c>
      <c r="C141" s="33" t="s">
        <v>1256</v>
      </c>
      <c r="D141" s="33" t="s">
        <v>993</v>
      </c>
      <c r="E141" s="33"/>
      <c r="F141" s="33"/>
      <c r="G141" s="33"/>
      <c r="H141" s="33"/>
      <c r="I141" s="33"/>
      <c r="J141" s="33"/>
      <c r="K141" s="33"/>
    </row>
    <row r="142" spans="1:11" ht="15.75">
      <c r="A142" s="33" t="s">
        <v>1257</v>
      </c>
      <c r="B142" s="33" t="s">
        <v>991</v>
      </c>
      <c r="C142" s="33" t="s">
        <v>1258</v>
      </c>
      <c r="D142" s="33" t="s">
        <v>993</v>
      </c>
      <c r="E142" s="33"/>
      <c r="F142" s="33"/>
      <c r="G142" s="33"/>
      <c r="H142" s="33"/>
      <c r="I142" s="33"/>
      <c r="J142" s="33"/>
      <c r="K142" s="33"/>
    </row>
    <row r="143" spans="1:11" ht="15.75">
      <c r="A143" s="33" t="s">
        <v>1259</v>
      </c>
      <c r="B143" s="33" t="s">
        <v>991</v>
      </c>
      <c r="C143" s="33" t="s">
        <v>1260</v>
      </c>
      <c r="D143" s="33" t="s">
        <v>993</v>
      </c>
      <c r="E143" s="33"/>
      <c r="F143" s="33"/>
      <c r="G143" s="33"/>
      <c r="H143" s="33"/>
      <c r="I143" s="33"/>
      <c r="J143" s="33"/>
      <c r="K143" s="33"/>
    </row>
    <row r="144" spans="1:11" ht="15.75">
      <c r="A144" s="33" t="s">
        <v>1261</v>
      </c>
      <c r="B144" s="33" t="s">
        <v>991</v>
      </c>
      <c r="C144" s="33" t="s">
        <v>1262</v>
      </c>
      <c r="D144" s="33" t="s">
        <v>993</v>
      </c>
      <c r="E144" s="33"/>
      <c r="F144" s="33"/>
      <c r="G144" s="33"/>
      <c r="H144" s="33"/>
      <c r="I144" s="33"/>
      <c r="J144" s="33"/>
      <c r="K144" s="33"/>
    </row>
    <row r="145" spans="1:11" ht="15.75">
      <c r="A145" s="33" t="s">
        <v>1263</v>
      </c>
      <c r="B145" s="33" t="s">
        <v>991</v>
      </c>
      <c r="C145" s="33" t="s">
        <v>1264</v>
      </c>
      <c r="D145" s="33" t="s">
        <v>993</v>
      </c>
      <c r="E145" s="33"/>
      <c r="F145" s="33"/>
      <c r="G145" s="33"/>
      <c r="H145" s="33"/>
      <c r="I145" s="33"/>
      <c r="J145" s="33"/>
      <c r="K145" s="33"/>
    </row>
    <row r="146" spans="1:11" ht="15.75">
      <c r="A146" s="33" t="s">
        <v>1265</v>
      </c>
      <c r="B146" s="33" t="s">
        <v>991</v>
      </c>
      <c r="C146" s="33" t="s">
        <v>1266</v>
      </c>
      <c r="D146" s="33" t="s">
        <v>993</v>
      </c>
      <c r="E146" s="33"/>
      <c r="F146" s="33"/>
      <c r="G146" s="33"/>
      <c r="H146" s="33"/>
      <c r="I146" s="33"/>
      <c r="J146" s="33"/>
      <c r="K146" s="33"/>
    </row>
    <row r="147" spans="1:11" ht="15.75">
      <c r="A147" s="33" t="s">
        <v>1267</v>
      </c>
      <c r="B147" s="33" t="s">
        <v>991</v>
      </c>
      <c r="C147" s="33" t="s">
        <v>1268</v>
      </c>
      <c r="D147" s="33" t="s">
        <v>993</v>
      </c>
      <c r="E147" s="33"/>
      <c r="F147" s="33"/>
      <c r="G147" s="33"/>
      <c r="H147" s="33"/>
      <c r="I147" s="33"/>
      <c r="J147" s="33"/>
      <c r="K147" s="33"/>
    </row>
    <row r="148" spans="1:11" ht="15.75">
      <c r="A148" s="33" t="s">
        <v>1269</v>
      </c>
      <c r="B148" s="33" t="s">
        <v>991</v>
      </c>
      <c r="C148" s="33" t="s">
        <v>1270</v>
      </c>
      <c r="D148" s="33" t="s">
        <v>993</v>
      </c>
      <c r="E148" s="33"/>
      <c r="F148" s="33"/>
      <c r="G148" s="33"/>
      <c r="H148" s="33"/>
      <c r="I148" s="33"/>
      <c r="J148" s="33"/>
      <c r="K148" s="33"/>
    </row>
    <row r="149" spans="1:11" ht="15.75">
      <c r="A149" s="33" t="s">
        <v>1271</v>
      </c>
      <c r="B149" s="33" t="s">
        <v>991</v>
      </c>
      <c r="C149" s="33" t="s">
        <v>1272</v>
      </c>
      <c r="D149" s="33" t="s">
        <v>993</v>
      </c>
      <c r="E149" s="33"/>
      <c r="F149" s="33"/>
      <c r="G149" s="33"/>
      <c r="H149" s="33"/>
      <c r="I149" s="33"/>
      <c r="J149" s="33"/>
      <c r="K149" s="33"/>
    </row>
    <row r="150" spans="1:11" ht="15.75">
      <c r="A150" s="33" t="s">
        <v>1273</v>
      </c>
      <c r="B150" s="33" t="s">
        <v>991</v>
      </c>
      <c r="C150" s="33" t="s">
        <v>1274</v>
      </c>
      <c r="D150" s="33" t="s">
        <v>993</v>
      </c>
      <c r="E150" s="33"/>
      <c r="F150" s="33"/>
      <c r="G150" s="33"/>
      <c r="H150" s="33"/>
      <c r="I150" s="33"/>
      <c r="J150" s="33"/>
      <c r="K150" s="33"/>
    </row>
    <row r="151" spans="1:11" ht="15.75">
      <c r="A151" s="33" t="s">
        <v>1275</v>
      </c>
      <c r="B151" s="33" t="s">
        <v>991</v>
      </c>
      <c r="C151" s="33" t="s">
        <v>1276</v>
      </c>
      <c r="D151" s="33" t="s">
        <v>993</v>
      </c>
      <c r="E151" s="33"/>
      <c r="F151" s="33"/>
      <c r="G151" s="33"/>
      <c r="H151" s="33"/>
      <c r="I151" s="33"/>
      <c r="J151" s="33"/>
      <c r="K151" s="33"/>
    </row>
    <row r="152" spans="1:11" ht="15.75">
      <c r="A152" s="33" t="s">
        <v>1277</v>
      </c>
      <c r="B152" s="33" t="s">
        <v>991</v>
      </c>
      <c r="C152" s="33" t="s">
        <v>1278</v>
      </c>
      <c r="D152" s="33" t="s">
        <v>993</v>
      </c>
      <c r="E152" s="33"/>
      <c r="F152" s="33"/>
      <c r="G152" s="33"/>
      <c r="H152" s="33"/>
      <c r="I152" s="33"/>
      <c r="J152" s="33"/>
      <c r="K152" s="33"/>
    </row>
    <row r="153" spans="1:11" ht="15.75">
      <c r="A153" s="33" t="s">
        <v>1279</v>
      </c>
      <c r="B153" s="33" t="s">
        <v>991</v>
      </c>
      <c r="C153" s="33" t="s">
        <v>1280</v>
      </c>
      <c r="D153" s="33" t="s">
        <v>993</v>
      </c>
      <c r="E153" s="33"/>
      <c r="F153" s="33"/>
      <c r="G153" s="33"/>
      <c r="H153" s="33"/>
      <c r="I153" s="33"/>
      <c r="J153" s="33"/>
      <c r="K153" s="33"/>
    </row>
    <row r="154" spans="1:11" ht="15.75">
      <c r="A154" s="33" t="s">
        <v>1281</v>
      </c>
      <c r="B154" s="33" t="s">
        <v>991</v>
      </c>
      <c r="C154" s="33" t="s">
        <v>1282</v>
      </c>
      <c r="D154" s="33" t="s">
        <v>993</v>
      </c>
      <c r="E154" s="33"/>
      <c r="F154" s="33"/>
      <c r="G154" s="33"/>
      <c r="H154" s="33"/>
      <c r="I154" s="33"/>
      <c r="J154" s="33"/>
      <c r="K154" s="33"/>
    </row>
    <row r="155" spans="1:11" ht="15.75">
      <c r="A155" s="33" t="s">
        <v>940</v>
      </c>
      <c r="B155" s="33" t="s">
        <v>991</v>
      </c>
      <c r="C155" s="33" t="s">
        <v>1283</v>
      </c>
      <c r="D155" s="33" t="s">
        <v>1005</v>
      </c>
      <c r="E155" s="33"/>
      <c r="F155" s="33"/>
      <c r="G155" s="33"/>
      <c r="H155" s="33"/>
      <c r="I155" s="33"/>
      <c r="J155" s="33"/>
      <c r="K155" s="33"/>
    </row>
    <row r="156" spans="1:11" ht="15.75">
      <c r="A156" s="33" t="s">
        <v>1284</v>
      </c>
      <c r="B156" s="33" t="s">
        <v>991</v>
      </c>
      <c r="C156" s="33" t="s">
        <v>1285</v>
      </c>
      <c r="D156" s="33" t="s">
        <v>993</v>
      </c>
      <c r="E156" s="33"/>
      <c r="F156" s="33"/>
      <c r="G156" s="33"/>
      <c r="H156" s="33"/>
      <c r="I156" s="33"/>
      <c r="J156" s="33"/>
      <c r="K156" s="33"/>
    </row>
    <row r="157" spans="1:11" ht="15.75">
      <c r="A157" s="33" t="s">
        <v>1286</v>
      </c>
      <c r="B157" s="33" t="s">
        <v>991</v>
      </c>
      <c r="C157" s="33" t="s">
        <v>1287</v>
      </c>
      <c r="D157" s="33" t="s">
        <v>993</v>
      </c>
      <c r="E157" s="33"/>
      <c r="F157" s="33"/>
      <c r="G157" s="33"/>
      <c r="H157" s="33"/>
      <c r="I157" s="33"/>
      <c r="J157" s="33"/>
      <c r="K157" s="33"/>
    </row>
    <row r="158" spans="1:11" ht="15.75">
      <c r="A158" s="33" t="s">
        <v>1288</v>
      </c>
      <c r="B158" s="33" t="s">
        <v>991</v>
      </c>
      <c r="C158" s="33" t="s">
        <v>1289</v>
      </c>
      <c r="D158" s="33" t="s">
        <v>993</v>
      </c>
      <c r="E158" s="33"/>
      <c r="F158" s="33"/>
      <c r="G158" s="33"/>
      <c r="H158" s="33"/>
      <c r="I158" s="33"/>
      <c r="J158" s="33"/>
      <c r="K158" s="33"/>
    </row>
    <row r="159" spans="1:11" ht="15.75">
      <c r="A159" s="33" t="s">
        <v>1290</v>
      </c>
      <c r="B159" s="33" t="s">
        <v>991</v>
      </c>
      <c r="C159" s="33" t="s">
        <v>1291</v>
      </c>
      <c r="D159" s="33" t="s">
        <v>993</v>
      </c>
      <c r="E159" s="33"/>
      <c r="F159" s="33"/>
      <c r="G159" s="33"/>
      <c r="H159" s="33"/>
      <c r="I159" s="33"/>
      <c r="J159" s="33"/>
      <c r="K159" s="33"/>
    </row>
    <row r="160" spans="1:11" ht="15.75">
      <c r="A160" s="33" t="s">
        <v>1292</v>
      </c>
      <c r="B160" s="33" t="s">
        <v>991</v>
      </c>
      <c r="C160" s="33" t="s">
        <v>1293</v>
      </c>
      <c r="D160" s="33" t="s">
        <v>993</v>
      </c>
      <c r="E160" s="33"/>
      <c r="F160" s="33"/>
      <c r="G160" s="33"/>
      <c r="H160" s="33"/>
      <c r="I160" s="33"/>
      <c r="J160" s="33"/>
      <c r="K160" s="33"/>
    </row>
    <row r="161" spans="1:11" ht="15.75">
      <c r="A161" s="33" t="s">
        <v>1294</v>
      </c>
      <c r="B161" s="33" t="s">
        <v>991</v>
      </c>
      <c r="C161" s="33" t="s">
        <v>1295</v>
      </c>
      <c r="D161" s="33" t="s">
        <v>993</v>
      </c>
      <c r="E161" s="33"/>
      <c r="F161" s="33"/>
      <c r="G161" s="33"/>
      <c r="H161" s="33"/>
      <c r="I161" s="33"/>
      <c r="J161" s="33"/>
      <c r="K161" s="33"/>
    </row>
    <row r="162" spans="1:11" ht="15.75">
      <c r="A162" s="33" t="s">
        <v>1296</v>
      </c>
      <c r="B162" s="33" t="s">
        <v>991</v>
      </c>
      <c r="C162" s="33" t="s">
        <v>1297</v>
      </c>
      <c r="D162" s="33" t="s">
        <v>993</v>
      </c>
      <c r="E162" s="33"/>
      <c r="F162" s="33"/>
      <c r="G162" s="33"/>
      <c r="H162" s="33"/>
      <c r="I162" s="33"/>
      <c r="J162" s="33"/>
      <c r="K162" s="33"/>
    </row>
    <row r="163" spans="1:11" ht="15.75">
      <c r="A163" s="33" t="s">
        <v>1298</v>
      </c>
      <c r="B163" s="33" t="s">
        <v>991</v>
      </c>
      <c r="C163" s="33" t="s">
        <v>1299</v>
      </c>
      <c r="D163" s="33" t="s">
        <v>993</v>
      </c>
      <c r="E163" s="33"/>
      <c r="F163" s="33"/>
      <c r="G163" s="33"/>
      <c r="H163" s="33"/>
      <c r="I163" s="33"/>
      <c r="J163" s="33"/>
      <c r="K163" s="33"/>
    </row>
    <row r="164" spans="1:11" ht="15.75">
      <c r="A164" s="33" t="s">
        <v>1300</v>
      </c>
      <c r="B164" s="33" t="s">
        <v>991</v>
      </c>
      <c r="C164" s="33" t="s">
        <v>1301</v>
      </c>
      <c r="D164" s="33" t="s">
        <v>993</v>
      </c>
      <c r="E164" s="33"/>
      <c r="F164" s="33"/>
      <c r="G164" s="33"/>
      <c r="H164" s="33"/>
      <c r="I164" s="33"/>
      <c r="J164" s="33"/>
      <c r="K164" s="33"/>
    </row>
    <row r="165" spans="1:11" ht="15.75">
      <c r="A165" s="33" t="s">
        <v>1302</v>
      </c>
      <c r="B165" s="33" t="s">
        <v>991</v>
      </c>
      <c r="C165" s="33" t="s">
        <v>1303</v>
      </c>
      <c r="D165" s="33" t="s">
        <v>993</v>
      </c>
      <c r="E165" s="33"/>
      <c r="F165" s="33"/>
      <c r="G165" s="33"/>
      <c r="H165" s="33"/>
      <c r="I165" s="33"/>
      <c r="J165" s="33"/>
      <c r="K165" s="33"/>
    </row>
    <row r="166" spans="1:11" ht="15.75">
      <c r="A166" s="33" t="s">
        <v>1304</v>
      </c>
      <c r="B166" s="33" t="s">
        <v>991</v>
      </c>
      <c r="C166" s="33" t="s">
        <v>1305</v>
      </c>
      <c r="D166" s="33" t="s">
        <v>993</v>
      </c>
      <c r="E166" s="33"/>
      <c r="F166" s="33"/>
      <c r="G166" s="33"/>
      <c r="H166" s="33"/>
      <c r="I166" s="33"/>
      <c r="J166" s="33"/>
      <c r="K166" s="33"/>
    </row>
    <row r="167" spans="1:11" ht="15.75">
      <c r="A167" s="33" t="s">
        <v>1306</v>
      </c>
      <c r="B167" s="33" t="s">
        <v>991</v>
      </c>
      <c r="C167" s="33" t="s">
        <v>1307</v>
      </c>
      <c r="D167" s="33" t="s">
        <v>993</v>
      </c>
      <c r="E167" s="33"/>
      <c r="F167" s="33"/>
      <c r="G167" s="33"/>
      <c r="H167" s="33"/>
      <c r="I167" s="33"/>
      <c r="J167" s="33"/>
      <c r="K167" s="33"/>
    </row>
    <row r="168" spans="1:11" ht="15.75">
      <c r="A168" s="33" t="s">
        <v>1308</v>
      </c>
      <c r="B168" s="33" t="s">
        <v>991</v>
      </c>
      <c r="C168" s="33" t="s">
        <v>1309</v>
      </c>
      <c r="D168" s="33" t="s">
        <v>993</v>
      </c>
      <c r="E168" s="33"/>
      <c r="F168" s="33"/>
      <c r="G168" s="33"/>
      <c r="H168" s="33"/>
      <c r="I168" s="33"/>
      <c r="J168" s="33"/>
      <c r="K168" s="33"/>
    </row>
    <row r="169" spans="1:11" ht="15.75">
      <c r="A169" s="33" t="s">
        <v>1310</v>
      </c>
      <c r="B169" s="33" t="s">
        <v>991</v>
      </c>
      <c r="C169" s="33" t="s">
        <v>1311</v>
      </c>
      <c r="D169" s="33" t="s">
        <v>993</v>
      </c>
      <c r="E169" s="33"/>
      <c r="F169" s="33"/>
      <c r="G169" s="33"/>
      <c r="H169" s="33"/>
      <c r="I169" s="33"/>
      <c r="J169" s="33"/>
      <c r="K169" s="33"/>
    </row>
    <row r="170" spans="1:11" ht="15.75">
      <c r="A170" s="33" t="s">
        <v>1312</v>
      </c>
      <c r="B170" s="33" t="s">
        <v>991</v>
      </c>
      <c r="C170" s="33" t="s">
        <v>1313</v>
      </c>
      <c r="D170" s="33" t="s">
        <v>993</v>
      </c>
      <c r="E170" s="33"/>
      <c r="F170" s="33"/>
      <c r="G170" s="33"/>
      <c r="H170" s="33"/>
      <c r="I170" s="33"/>
      <c r="J170" s="33"/>
      <c r="K170" s="33"/>
    </row>
    <row r="171" spans="1:11" ht="15.75">
      <c r="A171" s="33" t="s">
        <v>1314</v>
      </c>
      <c r="B171" s="33" t="s">
        <v>991</v>
      </c>
      <c r="C171" s="33" t="s">
        <v>1315</v>
      </c>
      <c r="D171" s="33" t="s">
        <v>993</v>
      </c>
      <c r="E171" s="33"/>
      <c r="F171" s="33"/>
      <c r="G171" s="33"/>
      <c r="H171" s="33"/>
      <c r="I171" s="33"/>
      <c r="J171" s="33"/>
      <c r="K171" s="33"/>
    </row>
    <row r="172" spans="1:11" ht="15.75">
      <c r="A172" s="33" t="s">
        <v>942</v>
      </c>
      <c r="B172" s="33" t="s">
        <v>991</v>
      </c>
      <c r="C172" s="33" t="s">
        <v>1316</v>
      </c>
      <c r="D172" s="33" t="s">
        <v>1005</v>
      </c>
      <c r="E172" s="33"/>
      <c r="F172" s="33"/>
      <c r="G172" s="33"/>
      <c r="H172" s="33"/>
      <c r="I172" s="33"/>
      <c r="J172" s="33"/>
      <c r="K172" s="33"/>
    </row>
    <row r="173" spans="1:11" ht="15.75">
      <c r="A173" s="33" t="s">
        <v>1317</v>
      </c>
      <c r="B173" s="33" t="s">
        <v>991</v>
      </c>
      <c r="C173" s="33" t="s">
        <v>1318</v>
      </c>
      <c r="D173" s="33" t="s">
        <v>993</v>
      </c>
      <c r="E173" s="33"/>
      <c r="F173" s="33"/>
      <c r="G173" s="33"/>
      <c r="H173" s="33"/>
      <c r="I173" s="33"/>
      <c r="J173" s="33"/>
      <c r="K173" s="33"/>
    </row>
    <row r="174" spans="1:11" ht="15.75">
      <c r="A174" s="33" t="s">
        <v>1319</v>
      </c>
      <c r="B174" s="33" t="s">
        <v>991</v>
      </c>
      <c r="C174" s="33" t="s">
        <v>1320</v>
      </c>
      <c r="D174" s="33" t="s">
        <v>993</v>
      </c>
      <c r="E174" s="33"/>
      <c r="F174" s="33"/>
      <c r="G174" s="33"/>
      <c r="H174" s="33"/>
      <c r="I174" s="33"/>
      <c r="J174" s="33"/>
      <c r="K174" s="33"/>
    </row>
    <row r="175" spans="1:11" ht="15.75">
      <c r="A175" s="33" t="s">
        <v>1321</v>
      </c>
      <c r="B175" s="33" t="s">
        <v>991</v>
      </c>
      <c r="C175" s="33" t="s">
        <v>1322</v>
      </c>
      <c r="D175" s="33" t="s">
        <v>993</v>
      </c>
      <c r="E175" s="33"/>
      <c r="F175" s="33"/>
      <c r="G175" s="33"/>
      <c r="H175" s="33"/>
      <c r="I175" s="33"/>
      <c r="J175" s="33"/>
      <c r="K175" s="33"/>
    </row>
    <row r="176" spans="1:11" ht="15.75">
      <c r="A176" s="33" t="s">
        <v>944</v>
      </c>
      <c r="B176" s="33" t="s">
        <v>991</v>
      </c>
      <c r="C176" s="33" t="s">
        <v>1323</v>
      </c>
      <c r="D176" s="33" t="s">
        <v>1005</v>
      </c>
      <c r="E176" s="33"/>
      <c r="F176" s="33"/>
      <c r="G176" s="33"/>
      <c r="H176" s="33"/>
      <c r="I176" s="33"/>
      <c r="J176" s="33"/>
      <c r="K176" s="33"/>
    </row>
    <row r="177" spans="1:11" ht="15.75">
      <c r="A177" s="33" t="s">
        <v>1324</v>
      </c>
      <c r="B177" s="33" t="s">
        <v>991</v>
      </c>
      <c r="C177" s="33" t="s">
        <v>1325</v>
      </c>
      <c r="D177" s="33" t="s">
        <v>993</v>
      </c>
      <c r="E177" s="33"/>
      <c r="F177" s="33"/>
      <c r="G177" s="33"/>
      <c r="H177" s="33"/>
      <c r="I177" s="33"/>
      <c r="J177" s="33"/>
      <c r="K177" s="33"/>
    </row>
    <row r="178" spans="1:11" ht="15.75">
      <c r="A178" s="33" t="s">
        <v>1326</v>
      </c>
      <c r="B178" s="33" t="s">
        <v>991</v>
      </c>
      <c r="C178" s="33" t="s">
        <v>1327</v>
      </c>
      <c r="D178" s="33" t="s">
        <v>993</v>
      </c>
      <c r="E178" s="33"/>
      <c r="F178" s="33"/>
      <c r="G178" s="33"/>
      <c r="H178" s="33"/>
      <c r="I178" s="33"/>
      <c r="J178" s="33"/>
      <c r="K178" s="33"/>
    </row>
    <row r="179" spans="1:11" ht="15.75">
      <c r="A179" s="33" t="s">
        <v>1328</v>
      </c>
      <c r="B179" s="33" t="s">
        <v>991</v>
      </c>
      <c r="C179" s="33" t="s">
        <v>1329</v>
      </c>
      <c r="D179" s="33" t="s">
        <v>993</v>
      </c>
      <c r="E179" s="33"/>
      <c r="F179" s="33"/>
      <c r="G179" s="33"/>
      <c r="H179" s="33"/>
      <c r="I179" s="33"/>
      <c r="J179" s="33"/>
      <c r="K179" s="33"/>
    </row>
    <row r="180" spans="1:11" ht="15.75">
      <c r="A180" s="33" t="s">
        <v>1330</v>
      </c>
      <c r="B180" s="33" t="s">
        <v>991</v>
      </c>
      <c r="C180" s="33" t="s">
        <v>1331</v>
      </c>
      <c r="D180" s="33" t="s">
        <v>993</v>
      </c>
      <c r="E180" s="33"/>
      <c r="F180" s="33"/>
      <c r="G180" s="33"/>
      <c r="H180" s="33"/>
      <c r="I180" s="33"/>
      <c r="J180" s="33"/>
      <c r="K180" s="33"/>
    </row>
    <row r="181" spans="1:11" ht="15.75">
      <c r="A181" s="33" t="s">
        <v>1332</v>
      </c>
      <c r="B181" s="33" t="s">
        <v>991</v>
      </c>
      <c r="C181" s="33" t="s">
        <v>1333</v>
      </c>
      <c r="D181" s="33" t="s">
        <v>993</v>
      </c>
      <c r="E181" s="33"/>
      <c r="F181" s="33"/>
      <c r="G181" s="33"/>
      <c r="H181" s="33"/>
      <c r="I181" s="33"/>
      <c r="J181" s="33"/>
      <c r="K181" s="33"/>
    </row>
    <row r="182" spans="1:11" ht="15.75">
      <c r="A182" s="33" t="s">
        <v>1334</v>
      </c>
      <c r="B182" s="33" t="s">
        <v>991</v>
      </c>
      <c r="C182" s="33" t="s">
        <v>1335</v>
      </c>
      <c r="D182" s="33" t="s">
        <v>993</v>
      </c>
      <c r="E182" s="33"/>
      <c r="F182" s="33"/>
      <c r="G182" s="33"/>
      <c r="H182" s="33"/>
      <c r="I182" s="33"/>
      <c r="J182" s="33"/>
      <c r="K182" s="33"/>
    </row>
    <row r="183" spans="1:11" ht="15.75">
      <c r="A183" s="33" t="s">
        <v>1336</v>
      </c>
      <c r="B183" s="33" t="s">
        <v>991</v>
      </c>
      <c r="C183" s="33" t="s">
        <v>1337</v>
      </c>
      <c r="D183" s="33" t="s">
        <v>993</v>
      </c>
      <c r="E183" s="33"/>
      <c r="F183" s="33"/>
      <c r="G183" s="33"/>
      <c r="H183" s="33"/>
      <c r="I183" s="33"/>
      <c r="J183" s="33"/>
      <c r="K183" s="33"/>
    </row>
    <row r="184" spans="1:11" ht="15.75">
      <c r="A184" s="33" t="s">
        <v>1338</v>
      </c>
      <c r="B184" s="33" t="s">
        <v>991</v>
      </c>
      <c r="C184" s="33" t="s">
        <v>1339</v>
      </c>
      <c r="D184" s="33" t="s">
        <v>993</v>
      </c>
      <c r="E184" s="33"/>
      <c r="F184" s="33"/>
      <c r="G184" s="33"/>
      <c r="H184" s="33"/>
      <c r="I184" s="33"/>
      <c r="J184" s="33"/>
      <c r="K184" s="33"/>
    </row>
    <row r="185" spans="1:11" ht="15.75">
      <c r="A185" s="33" t="s">
        <v>1340</v>
      </c>
      <c r="B185" s="33" t="s">
        <v>991</v>
      </c>
      <c r="C185" s="33" t="s">
        <v>1341</v>
      </c>
      <c r="D185" s="33" t="s">
        <v>993</v>
      </c>
      <c r="E185" s="33"/>
      <c r="F185" s="33"/>
      <c r="G185" s="33"/>
      <c r="H185" s="33"/>
      <c r="I185" s="33"/>
      <c r="J185" s="33"/>
      <c r="K185" s="33"/>
    </row>
    <row r="186" spans="1:11" ht="15.75">
      <c r="A186" s="33" t="s">
        <v>1342</v>
      </c>
      <c r="B186" s="33" t="s">
        <v>991</v>
      </c>
      <c r="C186" s="33" t="s">
        <v>1343</v>
      </c>
      <c r="D186" s="33" t="s">
        <v>993</v>
      </c>
      <c r="E186" s="33"/>
      <c r="F186" s="33"/>
      <c r="G186" s="33"/>
      <c r="H186" s="33"/>
      <c r="I186" s="33"/>
      <c r="J186" s="33"/>
      <c r="K186" s="33"/>
    </row>
    <row r="187" spans="1:11" ht="15.75">
      <c r="A187" s="33" t="s">
        <v>975</v>
      </c>
      <c r="B187" s="33" t="s">
        <v>991</v>
      </c>
      <c r="C187" s="33" t="s">
        <v>1344</v>
      </c>
      <c r="D187" s="33" t="s">
        <v>1005</v>
      </c>
      <c r="E187" s="33"/>
      <c r="F187" s="33"/>
      <c r="G187" s="33"/>
      <c r="H187" s="33"/>
      <c r="I187" s="33"/>
      <c r="J187" s="33"/>
      <c r="K187" s="33"/>
    </row>
    <row r="188" spans="1:11" ht="15.75">
      <c r="A188" s="33" t="s">
        <v>1345</v>
      </c>
      <c r="B188" s="33" t="s">
        <v>991</v>
      </c>
      <c r="C188" s="33" t="s">
        <v>1346</v>
      </c>
      <c r="D188" s="33" t="s">
        <v>993</v>
      </c>
      <c r="E188" s="33"/>
      <c r="F188" s="33"/>
      <c r="G188" s="33"/>
      <c r="H188" s="33"/>
      <c r="I188" s="33"/>
      <c r="J188" s="33"/>
      <c r="K188" s="33"/>
    </row>
    <row r="189" spans="1:11" ht="15.75">
      <c r="A189" s="33" t="s">
        <v>959</v>
      </c>
      <c r="B189" s="33" t="s">
        <v>991</v>
      </c>
      <c r="C189" s="33" t="s">
        <v>1347</v>
      </c>
      <c r="D189" s="33" t="s">
        <v>1005</v>
      </c>
      <c r="E189" s="33"/>
      <c r="F189" s="33"/>
      <c r="G189" s="33"/>
      <c r="H189" s="33"/>
      <c r="I189" s="33"/>
      <c r="J189" s="33"/>
      <c r="K189" s="33"/>
    </row>
    <row r="190" spans="1:11" ht="15.75">
      <c r="A190" s="33" t="s">
        <v>1348</v>
      </c>
      <c r="B190" s="33" t="s">
        <v>991</v>
      </c>
      <c r="C190" s="33" t="s">
        <v>1349</v>
      </c>
      <c r="D190" s="33" t="s">
        <v>993</v>
      </c>
      <c r="E190" s="33"/>
      <c r="F190" s="33"/>
      <c r="G190" s="33"/>
      <c r="H190" s="33"/>
      <c r="I190" s="33"/>
      <c r="J190" s="33"/>
      <c r="K190" s="33"/>
    </row>
    <row r="191" spans="1:11" ht="15.75">
      <c r="A191" s="33" t="s">
        <v>1350</v>
      </c>
      <c r="B191" s="33" t="s">
        <v>991</v>
      </c>
      <c r="C191" s="33" t="s">
        <v>1351</v>
      </c>
      <c r="D191" s="33" t="s">
        <v>993</v>
      </c>
      <c r="E191" s="33"/>
      <c r="F191" s="33"/>
      <c r="G191" s="33"/>
      <c r="H191" s="33"/>
      <c r="I191" s="33"/>
      <c r="J191" s="33"/>
      <c r="K191" s="33"/>
    </row>
    <row r="192" spans="1:11" ht="15.75">
      <c r="A192" s="33" t="s">
        <v>1352</v>
      </c>
      <c r="B192" s="33" t="s">
        <v>991</v>
      </c>
      <c r="C192" s="33" t="s">
        <v>1353</v>
      </c>
      <c r="D192" s="33" t="s">
        <v>993</v>
      </c>
      <c r="E192" s="33"/>
      <c r="F192" s="33"/>
      <c r="G192" s="33"/>
      <c r="H192" s="33"/>
      <c r="I192" s="33"/>
      <c r="J192" s="33"/>
      <c r="K192" s="33"/>
    </row>
    <row r="193" spans="1:11" ht="15.75">
      <c r="A193" s="33" t="s">
        <v>1354</v>
      </c>
      <c r="B193" s="33" t="s">
        <v>991</v>
      </c>
      <c r="C193" s="33" t="s">
        <v>1355</v>
      </c>
      <c r="D193" s="33" t="s">
        <v>993</v>
      </c>
      <c r="E193" s="33"/>
      <c r="F193" s="33"/>
      <c r="G193" s="33"/>
      <c r="H193" s="33"/>
      <c r="I193" s="33"/>
      <c r="J193" s="33"/>
      <c r="K193" s="33"/>
    </row>
    <row r="194" spans="1:11" ht="15.75">
      <c r="A194" s="33" t="s">
        <v>1356</v>
      </c>
      <c r="B194" s="33" t="s">
        <v>991</v>
      </c>
      <c r="C194" s="33" t="s">
        <v>1357</v>
      </c>
      <c r="D194" s="33" t="s">
        <v>993</v>
      </c>
      <c r="E194" s="33"/>
      <c r="F194" s="33"/>
      <c r="G194" s="33"/>
      <c r="H194" s="33"/>
      <c r="I194" s="33"/>
      <c r="J194" s="33"/>
      <c r="K194" s="33"/>
    </row>
    <row r="195" spans="1:11" ht="15.75">
      <c r="A195" s="33" t="s">
        <v>1358</v>
      </c>
      <c r="B195" s="33" t="s">
        <v>991</v>
      </c>
      <c r="C195" s="33" t="s">
        <v>1359</v>
      </c>
      <c r="D195" s="33" t="s">
        <v>993</v>
      </c>
      <c r="E195" s="33"/>
      <c r="F195" s="33"/>
      <c r="G195" s="33"/>
      <c r="H195" s="33"/>
      <c r="I195" s="33"/>
      <c r="J195" s="33"/>
      <c r="K195" s="33"/>
    </row>
    <row r="196" spans="1:11" ht="15.75">
      <c r="A196" s="33" t="s">
        <v>970</v>
      </c>
      <c r="B196" s="33" t="s">
        <v>991</v>
      </c>
      <c r="C196" s="33" t="s">
        <v>1360</v>
      </c>
      <c r="D196" s="33" t="s">
        <v>1005</v>
      </c>
      <c r="E196" s="33"/>
      <c r="F196" s="33"/>
      <c r="G196" s="33"/>
      <c r="H196" s="33"/>
      <c r="I196" s="33"/>
      <c r="J196" s="33"/>
      <c r="K196" s="33"/>
    </row>
    <row r="197" spans="1:11" ht="15.75">
      <c r="A197" s="33" t="s">
        <v>1361</v>
      </c>
      <c r="B197" s="33" t="s">
        <v>991</v>
      </c>
      <c r="C197" s="33" t="s">
        <v>1362</v>
      </c>
      <c r="D197" s="33" t="s">
        <v>993</v>
      </c>
      <c r="E197" s="33"/>
      <c r="F197" s="33"/>
      <c r="G197" s="33"/>
      <c r="H197" s="33"/>
      <c r="I197" s="33"/>
      <c r="J197" s="33"/>
      <c r="K197" s="33"/>
    </row>
    <row r="198" spans="1:11" ht="15.75">
      <c r="A198" s="33" t="s">
        <v>1363</v>
      </c>
      <c r="B198" s="33" t="s">
        <v>991</v>
      </c>
      <c r="C198" s="33" t="s">
        <v>1364</v>
      </c>
      <c r="D198" s="33" t="s">
        <v>993</v>
      </c>
      <c r="E198" s="33"/>
      <c r="F198" s="33"/>
      <c r="G198" s="33"/>
      <c r="H198" s="33"/>
      <c r="I198" s="33"/>
      <c r="J198" s="33"/>
      <c r="K198" s="33"/>
    </row>
    <row r="199" spans="1:11" ht="15.75">
      <c r="A199" s="33" t="s">
        <v>1365</v>
      </c>
      <c r="B199" s="33" t="s">
        <v>991</v>
      </c>
      <c r="C199" s="33" t="s">
        <v>1366</v>
      </c>
      <c r="D199" s="33" t="s">
        <v>993</v>
      </c>
      <c r="E199" s="33"/>
      <c r="F199" s="33"/>
      <c r="G199" s="33"/>
      <c r="H199" s="33"/>
      <c r="I199" s="33"/>
      <c r="J199" s="33"/>
      <c r="K199" s="33"/>
    </row>
    <row r="200" spans="1:11" ht="15.75">
      <c r="A200" s="33" t="s">
        <v>1367</v>
      </c>
      <c r="B200" s="33" t="s">
        <v>991</v>
      </c>
      <c r="C200" s="33" t="s">
        <v>1368</v>
      </c>
      <c r="D200" s="33" t="s">
        <v>993</v>
      </c>
      <c r="E200" s="33"/>
      <c r="F200" s="33"/>
      <c r="G200" s="33"/>
      <c r="H200" s="33"/>
      <c r="I200" s="33"/>
      <c r="J200" s="33"/>
      <c r="K200" s="33"/>
    </row>
    <row r="201" spans="1:11" ht="15.75">
      <c r="A201" s="33" t="s">
        <v>1369</v>
      </c>
      <c r="B201" s="33" t="s">
        <v>991</v>
      </c>
      <c r="C201" s="33" t="s">
        <v>1370</v>
      </c>
      <c r="D201" s="33" t="s">
        <v>993</v>
      </c>
      <c r="E201" s="33"/>
      <c r="F201" s="33"/>
      <c r="G201" s="33"/>
      <c r="H201" s="33"/>
      <c r="I201" s="33"/>
      <c r="J201" s="33"/>
      <c r="K201" s="33"/>
    </row>
    <row r="202" spans="1:11" ht="15.75">
      <c r="A202" s="33" t="s">
        <v>1371</v>
      </c>
      <c r="B202" s="33" t="s">
        <v>991</v>
      </c>
      <c r="C202" s="33" t="s">
        <v>1372</v>
      </c>
      <c r="D202" s="33" t="s">
        <v>993</v>
      </c>
      <c r="E202" s="33"/>
      <c r="F202" s="33"/>
      <c r="G202" s="33"/>
      <c r="H202" s="33"/>
      <c r="I202" s="33"/>
      <c r="J202" s="33"/>
      <c r="K202" s="33"/>
    </row>
    <row r="203" spans="1:11" ht="15.75">
      <c r="A203" s="33" t="s">
        <v>1373</v>
      </c>
      <c r="B203" s="33" t="s">
        <v>991</v>
      </c>
      <c r="C203" s="33" t="s">
        <v>1374</v>
      </c>
      <c r="D203" s="33" t="s">
        <v>993</v>
      </c>
      <c r="E203" s="33"/>
      <c r="F203" s="33"/>
      <c r="G203" s="33"/>
      <c r="H203" s="33"/>
      <c r="I203" s="33"/>
      <c r="J203" s="33"/>
      <c r="K203" s="33"/>
    </row>
    <row r="204" spans="1:11" ht="15.75">
      <c r="A204" s="33" t="s">
        <v>1375</v>
      </c>
      <c r="B204" s="33" t="s">
        <v>991</v>
      </c>
      <c r="C204" s="33" t="s">
        <v>1376</v>
      </c>
      <c r="D204" s="33" t="s">
        <v>993</v>
      </c>
      <c r="E204" s="33"/>
      <c r="F204" s="33"/>
      <c r="G204" s="33"/>
      <c r="H204" s="33"/>
      <c r="I204" s="33"/>
      <c r="J204" s="33"/>
      <c r="K204" s="33"/>
    </row>
    <row r="205" spans="1:11" ht="15.75">
      <c r="A205" s="33" t="s">
        <v>1377</v>
      </c>
      <c r="B205" s="33" t="s">
        <v>991</v>
      </c>
      <c r="C205" s="33" t="s">
        <v>1378</v>
      </c>
      <c r="D205" s="33" t="s">
        <v>993</v>
      </c>
      <c r="E205" s="33"/>
      <c r="F205" s="33"/>
      <c r="G205" s="33"/>
      <c r="H205" s="33"/>
      <c r="I205" s="33"/>
      <c r="J205" s="33"/>
      <c r="K205" s="33"/>
    </row>
    <row r="206" spans="1:11" ht="15.75">
      <c r="A206" s="33" t="s">
        <v>1379</v>
      </c>
      <c r="B206" s="33" t="s">
        <v>991</v>
      </c>
      <c r="C206" s="33" t="s">
        <v>1380</v>
      </c>
      <c r="D206" s="33" t="s">
        <v>993</v>
      </c>
      <c r="E206" s="33"/>
      <c r="F206" s="33"/>
      <c r="G206" s="33"/>
      <c r="H206" s="33"/>
      <c r="I206" s="33"/>
      <c r="J206" s="33"/>
      <c r="K206" s="33"/>
    </row>
    <row r="207" spans="1:11" ht="15.75">
      <c r="A207" s="33" t="s">
        <v>1381</v>
      </c>
      <c r="B207" s="33" t="s">
        <v>991</v>
      </c>
      <c r="C207" s="33" t="s">
        <v>1382</v>
      </c>
      <c r="D207" s="33" t="s">
        <v>993</v>
      </c>
      <c r="E207" s="33"/>
      <c r="F207" s="33"/>
      <c r="G207" s="33"/>
      <c r="H207" s="33"/>
      <c r="I207" s="33"/>
      <c r="J207" s="33"/>
      <c r="K207" s="33"/>
    </row>
    <row r="208" spans="1:11" ht="15.75">
      <c r="A208" s="33" t="s">
        <v>1383</v>
      </c>
      <c r="B208" s="33" t="s">
        <v>991</v>
      </c>
      <c r="C208" s="33" t="s">
        <v>1384</v>
      </c>
      <c r="D208" s="33" t="s">
        <v>993</v>
      </c>
      <c r="E208" s="33"/>
      <c r="F208" s="33"/>
      <c r="G208" s="33"/>
      <c r="H208" s="33"/>
      <c r="I208" s="33"/>
      <c r="J208" s="33"/>
      <c r="K208" s="33"/>
    </row>
    <row r="209" spans="1:11" ht="15.75">
      <c r="A209" s="33" t="s">
        <v>1385</v>
      </c>
      <c r="B209" s="33" t="s">
        <v>991</v>
      </c>
      <c r="C209" s="33" t="s">
        <v>1386</v>
      </c>
      <c r="D209" s="33" t="s">
        <v>993</v>
      </c>
      <c r="E209" s="33"/>
      <c r="F209" s="33"/>
      <c r="G209" s="33"/>
      <c r="H209" s="33"/>
      <c r="I209" s="33"/>
      <c r="J209" s="33"/>
      <c r="K209" s="33"/>
    </row>
    <row r="210" spans="1:11" ht="15.75">
      <c r="A210" s="33" t="s">
        <v>1387</v>
      </c>
      <c r="B210" s="33" t="s">
        <v>991</v>
      </c>
      <c r="C210" s="33" t="s">
        <v>1388</v>
      </c>
      <c r="D210" s="33" t="s">
        <v>993</v>
      </c>
      <c r="E210" s="33"/>
      <c r="F210" s="33"/>
      <c r="G210" s="33"/>
      <c r="H210" s="33"/>
      <c r="I210" s="33"/>
      <c r="J210" s="33"/>
      <c r="K210" s="33"/>
    </row>
    <row r="211" spans="1:11" ht="15.75">
      <c r="A211" s="33" t="s">
        <v>1389</v>
      </c>
      <c r="B211" s="33" t="s">
        <v>991</v>
      </c>
      <c r="C211" s="33" t="s">
        <v>1390</v>
      </c>
      <c r="D211" s="33" t="s">
        <v>993</v>
      </c>
      <c r="E211" s="33"/>
      <c r="F211" s="33"/>
      <c r="G211" s="33"/>
      <c r="H211" s="33"/>
      <c r="I211" s="33"/>
      <c r="J211" s="33"/>
      <c r="K211" s="33"/>
    </row>
    <row r="212" spans="1:11" ht="15.75">
      <c r="A212" s="33" t="s">
        <v>1391</v>
      </c>
      <c r="B212" s="33" t="s">
        <v>991</v>
      </c>
      <c r="C212" s="33" t="s">
        <v>1392</v>
      </c>
      <c r="D212" s="33" t="s">
        <v>993</v>
      </c>
      <c r="E212" s="33"/>
      <c r="F212" s="33"/>
      <c r="G212" s="33"/>
      <c r="H212" s="33"/>
      <c r="I212" s="33"/>
      <c r="J212" s="33"/>
      <c r="K212" s="33"/>
    </row>
    <row r="213" spans="1:11" ht="15.75">
      <c r="A213" s="33" t="s">
        <v>1393</v>
      </c>
      <c r="B213" s="33" t="s">
        <v>991</v>
      </c>
      <c r="C213" s="33" t="s">
        <v>1394</v>
      </c>
      <c r="D213" s="33" t="s">
        <v>993</v>
      </c>
      <c r="E213" s="33"/>
      <c r="F213" s="33"/>
      <c r="G213" s="33"/>
      <c r="H213" s="33"/>
      <c r="I213" s="33"/>
      <c r="J213" s="33"/>
      <c r="K213" s="33"/>
    </row>
    <row r="214" spans="1:11" ht="15.75">
      <c r="A214" s="33" t="s">
        <v>1395</v>
      </c>
      <c r="B214" s="33" t="s">
        <v>991</v>
      </c>
      <c r="C214" s="33" t="s">
        <v>1396</v>
      </c>
      <c r="D214" s="33" t="s">
        <v>993</v>
      </c>
      <c r="E214" s="33"/>
      <c r="F214" s="33"/>
      <c r="G214" s="33"/>
      <c r="H214" s="33"/>
      <c r="I214" s="33"/>
      <c r="J214" s="33"/>
      <c r="K214" s="33"/>
    </row>
    <row r="215" spans="1:11" ht="15.75">
      <c r="A215" s="33" t="s">
        <v>1397</v>
      </c>
      <c r="B215" s="33" t="s">
        <v>991</v>
      </c>
      <c r="C215" s="33" t="s">
        <v>1398</v>
      </c>
      <c r="D215" s="33" t="s">
        <v>993</v>
      </c>
      <c r="E215" s="33"/>
      <c r="F215" s="33"/>
      <c r="G215" s="33"/>
      <c r="H215" s="33"/>
      <c r="I215" s="33"/>
      <c r="J215" s="33"/>
      <c r="K215" s="33"/>
    </row>
    <row r="216" spans="1:11" ht="15.75">
      <c r="A216" s="33" t="s">
        <v>969</v>
      </c>
      <c r="B216" s="33" t="s">
        <v>991</v>
      </c>
      <c r="C216" s="33" t="s">
        <v>1399</v>
      </c>
      <c r="D216" s="33" t="s">
        <v>1005</v>
      </c>
      <c r="E216" s="33"/>
      <c r="F216" s="33"/>
      <c r="G216" s="33"/>
      <c r="H216" s="33"/>
      <c r="I216" s="33"/>
      <c r="J216" s="33"/>
      <c r="K216" s="33"/>
    </row>
    <row r="217" spans="1:11" ht="15.75">
      <c r="A217" s="33" t="s">
        <v>1400</v>
      </c>
      <c r="B217" s="33" t="s">
        <v>991</v>
      </c>
      <c r="C217" s="33" t="s">
        <v>1401</v>
      </c>
      <c r="D217" s="33" t="s">
        <v>993</v>
      </c>
      <c r="E217" s="33"/>
      <c r="F217" s="33"/>
      <c r="G217" s="33"/>
      <c r="H217" s="33"/>
      <c r="I217" s="33"/>
      <c r="J217" s="33"/>
      <c r="K217" s="33"/>
    </row>
    <row r="218" spans="1:11" ht="15.75">
      <c r="A218" s="33" t="s">
        <v>1402</v>
      </c>
      <c r="B218" s="33" t="s">
        <v>991</v>
      </c>
      <c r="C218" s="33" t="s">
        <v>1403</v>
      </c>
      <c r="D218" s="33" t="s">
        <v>993</v>
      </c>
      <c r="E218" s="33"/>
      <c r="F218" s="33"/>
      <c r="G218" s="33"/>
      <c r="H218" s="33"/>
      <c r="I218" s="33"/>
      <c r="J218" s="33"/>
      <c r="K218" s="33"/>
    </row>
    <row r="219" spans="1:11" ht="15.75">
      <c r="A219" s="33" t="s">
        <v>1404</v>
      </c>
      <c r="B219" s="33" t="s">
        <v>991</v>
      </c>
      <c r="C219" s="33" t="s">
        <v>1405</v>
      </c>
      <c r="D219" s="33" t="s">
        <v>993</v>
      </c>
      <c r="E219" s="33"/>
      <c r="F219" s="33"/>
      <c r="G219" s="33"/>
      <c r="H219" s="33"/>
      <c r="I219" s="33"/>
      <c r="J219" s="33"/>
      <c r="K219" s="33"/>
    </row>
    <row r="220" spans="1:11" ht="15.75">
      <c r="A220" s="33" t="s">
        <v>1406</v>
      </c>
      <c r="B220" s="33" t="s">
        <v>991</v>
      </c>
      <c r="C220" s="33" t="s">
        <v>1407</v>
      </c>
      <c r="D220" s="33" t="s">
        <v>993</v>
      </c>
      <c r="E220" s="33"/>
      <c r="F220" s="33"/>
      <c r="G220" s="33"/>
      <c r="H220" s="33"/>
      <c r="I220" s="33"/>
      <c r="J220" s="33"/>
      <c r="K220" s="33"/>
    </row>
    <row r="221" spans="1:11" ht="15.75">
      <c r="A221" s="33" t="s">
        <v>1408</v>
      </c>
      <c r="B221" s="33" t="s">
        <v>991</v>
      </c>
      <c r="C221" s="33" t="s">
        <v>1409</v>
      </c>
      <c r="D221" s="33" t="s">
        <v>993</v>
      </c>
      <c r="E221" s="33"/>
      <c r="F221" s="33"/>
      <c r="G221" s="33"/>
      <c r="H221" s="33"/>
      <c r="I221" s="33"/>
      <c r="J221" s="33"/>
      <c r="K221" s="33"/>
    </row>
    <row r="222" spans="1:11" ht="15.75">
      <c r="A222" s="33" t="s">
        <v>971</v>
      </c>
      <c r="B222" s="33" t="s">
        <v>991</v>
      </c>
      <c r="C222" s="33" t="s">
        <v>1410</v>
      </c>
      <c r="D222" s="33" t="s">
        <v>1005</v>
      </c>
      <c r="E222" s="33"/>
      <c r="F222" s="33"/>
      <c r="G222" s="33"/>
      <c r="H222" s="33"/>
      <c r="I222" s="33"/>
      <c r="J222" s="33"/>
      <c r="K222" s="33"/>
    </row>
    <row r="223" spans="1:11" ht="15.75">
      <c r="A223" s="33" t="s">
        <v>1411</v>
      </c>
      <c r="B223" s="33" t="s">
        <v>991</v>
      </c>
      <c r="C223" s="33" t="s">
        <v>1412</v>
      </c>
      <c r="D223" s="33" t="s">
        <v>993</v>
      </c>
      <c r="E223" s="33"/>
      <c r="F223" s="33"/>
      <c r="G223" s="33"/>
      <c r="H223" s="33"/>
      <c r="I223" s="33"/>
      <c r="J223" s="33"/>
      <c r="K223" s="33"/>
    </row>
    <row r="224" spans="1:11" ht="15.75">
      <c r="A224" s="33" t="s">
        <v>1413</v>
      </c>
      <c r="B224" s="33" t="s">
        <v>991</v>
      </c>
      <c r="C224" s="33" t="s">
        <v>1414</v>
      </c>
      <c r="D224" s="33" t="s">
        <v>993</v>
      </c>
      <c r="E224" s="33"/>
      <c r="F224" s="33"/>
      <c r="G224" s="33"/>
      <c r="H224" s="33"/>
      <c r="I224" s="33"/>
      <c r="J224" s="33"/>
      <c r="K224" s="33"/>
    </row>
    <row r="225" spans="1:11" ht="15.75">
      <c r="A225" s="33" t="s">
        <v>1415</v>
      </c>
      <c r="B225" s="33" t="s">
        <v>991</v>
      </c>
      <c r="C225" s="33" t="s">
        <v>1416</v>
      </c>
      <c r="D225" s="33" t="s">
        <v>993</v>
      </c>
      <c r="E225" s="33"/>
      <c r="F225" s="33"/>
      <c r="G225" s="33"/>
      <c r="H225" s="33"/>
      <c r="I225" s="33"/>
      <c r="J225" s="33"/>
      <c r="K225" s="33"/>
    </row>
    <row r="226" spans="1:11" ht="15.75">
      <c r="A226" s="33" t="s">
        <v>1417</v>
      </c>
      <c r="B226" s="33" t="s">
        <v>991</v>
      </c>
      <c r="C226" s="33" t="s">
        <v>1418</v>
      </c>
      <c r="D226" s="33" t="s">
        <v>993</v>
      </c>
      <c r="E226" s="33"/>
      <c r="F226" s="33"/>
      <c r="G226" s="33"/>
      <c r="H226" s="33"/>
      <c r="I226" s="33"/>
      <c r="J226" s="33"/>
      <c r="K226" s="33"/>
    </row>
    <row r="227" spans="1:11" ht="15.75">
      <c r="A227" s="33" t="s">
        <v>1419</v>
      </c>
      <c r="B227" s="33" t="s">
        <v>991</v>
      </c>
      <c r="C227" s="33" t="s">
        <v>1420</v>
      </c>
      <c r="D227" s="33" t="s">
        <v>1005</v>
      </c>
      <c r="E227" s="33"/>
      <c r="F227" s="33"/>
      <c r="G227" s="33"/>
      <c r="H227" s="33"/>
      <c r="I227" s="33"/>
      <c r="J227" s="33"/>
      <c r="K227" s="33"/>
    </row>
    <row r="228" spans="1:11" ht="15.75">
      <c r="A228" s="33" t="s">
        <v>1421</v>
      </c>
      <c r="B228" s="33" t="s">
        <v>991</v>
      </c>
      <c r="C228" s="33" t="s">
        <v>1422</v>
      </c>
      <c r="D228" s="33" t="s">
        <v>993</v>
      </c>
      <c r="E228" s="33"/>
      <c r="F228" s="33"/>
      <c r="G228" s="33"/>
      <c r="H228" s="33"/>
      <c r="I228" s="33"/>
      <c r="J228" s="33"/>
      <c r="K228" s="33"/>
    </row>
    <row r="229" spans="1:11" ht="15.75">
      <c r="A229" s="33" t="s">
        <v>1423</v>
      </c>
      <c r="B229" s="33" t="s">
        <v>991</v>
      </c>
      <c r="C229" s="33" t="s">
        <v>1424</v>
      </c>
      <c r="D229" s="33" t="s">
        <v>993</v>
      </c>
      <c r="E229" s="33"/>
      <c r="F229" s="33"/>
      <c r="G229" s="33"/>
      <c r="H229" s="33"/>
      <c r="I229" s="33"/>
      <c r="J229" s="33"/>
      <c r="K229" s="33"/>
    </row>
    <row r="230" spans="1:11" ht="15.75">
      <c r="A230" s="33" t="s">
        <v>1425</v>
      </c>
      <c r="B230" s="33" t="s">
        <v>991</v>
      </c>
      <c r="C230" s="33" t="s">
        <v>1426</v>
      </c>
      <c r="D230" s="33" t="s">
        <v>993</v>
      </c>
      <c r="E230" s="33"/>
      <c r="F230" s="33"/>
      <c r="G230" s="33"/>
      <c r="H230" s="33"/>
      <c r="I230" s="33"/>
      <c r="J230" s="33"/>
      <c r="K230" s="33"/>
    </row>
    <row r="231" spans="1:11" ht="15.75">
      <c r="A231" s="33" t="s">
        <v>1427</v>
      </c>
      <c r="B231" s="33" t="s">
        <v>991</v>
      </c>
      <c r="C231" s="33" t="s">
        <v>1428</v>
      </c>
      <c r="D231" s="33" t="s">
        <v>993</v>
      </c>
      <c r="E231" s="33"/>
      <c r="F231" s="33"/>
      <c r="G231" s="33"/>
      <c r="H231" s="33"/>
      <c r="I231" s="33"/>
      <c r="J231" s="33"/>
      <c r="K231" s="33"/>
    </row>
    <row r="232" spans="1:11" ht="15.75">
      <c r="A232" s="33" t="s">
        <v>1429</v>
      </c>
      <c r="B232" s="33" t="s">
        <v>991</v>
      </c>
      <c r="C232" s="33" t="s">
        <v>1430</v>
      </c>
      <c r="D232" s="33" t="s">
        <v>993</v>
      </c>
      <c r="E232" s="33"/>
      <c r="F232" s="33"/>
      <c r="G232" s="33"/>
      <c r="H232" s="33"/>
      <c r="I232" s="33"/>
      <c r="J232" s="33"/>
      <c r="K232" s="33"/>
    </row>
    <row r="233" spans="1:11" ht="15.75">
      <c r="A233" s="33" t="s">
        <v>965</v>
      </c>
      <c r="B233" s="33" t="s">
        <v>991</v>
      </c>
      <c r="C233" s="33" t="s">
        <v>1431</v>
      </c>
      <c r="D233" s="33" t="s">
        <v>1005</v>
      </c>
      <c r="E233" s="33"/>
      <c r="F233" s="33"/>
      <c r="G233" s="33"/>
      <c r="H233" s="33"/>
      <c r="I233" s="33"/>
      <c r="J233" s="33"/>
      <c r="K233" s="33"/>
    </row>
    <row r="234" spans="1:11" ht="15.75">
      <c r="A234" s="33" t="s">
        <v>1432</v>
      </c>
      <c r="B234" s="33" t="s">
        <v>991</v>
      </c>
      <c r="C234" s="33" t="s">
        <v>1433</v>
      </c>
      <c r="D234" s="33" t="s">
        <v>993</v>
      </c>
      <c r="E234" s="33"/>
      <c r="F234" s="33"/>
      <c r="G234" s="33"/>
      <c r="H234" s="33"/>
      <c r="I234" s="33"/>
      <c r="J234" s="33"/>
      <c r="K234" s="33"/>
    </row>
    <row r="235" spans="1:11" ht="15.75">
      <c r="A235" s="33" t="s">
        <v>1434</v>
      </c>
      <c r="B235" s="33" t="s">
        <v>991</v>
      </c>
      <c r="C235" s="33" t="s">
        <v>1435</v>
      </c>
      <c r="D235" s="33" t="s">
        <v>993</v>
      </c>
      <c r="E235" s="33"/>
      <c r="F235" s="33"/>
      <c r="G235" s="33"/>
      <c r="H235" s="33"/>
      <c r="I235" s="33"/>
      <c r="J235" s="33"/>
      <c r="K235" s="33"/>
    </row>
    <row r="236" spans="1:11" ht="15.75">
      <c r="A236" s="33" t="s">
        <v>943</v>
      </c>
      <c r="B236" s="33" t="s">
        <v>991</v>
      </c>
      <c r="C236" s="33" t="s">
        <v>1436</v>
      </c>
      <c r="D236" s="33" t="s">
        <v>1005</v>
      </c>
      <c r="E236" s="33"/>
      <c r="F236" s="33"/>
      <c r="G236" s="33"/>
      <c r="H236" s="33"/>
      <c r="I236" s="33"/>
      <c r="J236" s="33"/>
      <c r="K236" s="33"/>
    </row>
    <row r="237" spans="1:11" ht="15.75">
      <c r="A237" s="33" t="s">
        <v>1437</v>
      </c>
      <c r="B237" s="33" t="s">
        <v>991</v>
      </c>
      <c r="C237" s="33" t="s">
        <v>1438</v>
      </c>
      <c r="D237" s="33" t="s">
        <v>993</v>
      </c>
      <c r="E237" s="33"/>
      <c r="F237" s="33"/>
      <c r="G237" s="33"/>
      <c r="H237" s="33"/>
      <c r="I237" s="33"/>
      <c r="J237" s="33"/>
      <c r="K237" s="33"/>
    </row>
    <row r="238" spans="1:11" ht="15.75">
      <c r="A238" s="33" t="s">
        <v>1439</v>
      </c>
      <c r="B238" s="33" t="s">
        <v>991</v>
      </c>
      <c r="C238" s="33" t="s">
        <v>1440</v>
      </c>
      <c r="D238" s="33" t="s">
        <v>993</v>
      </c>
      <c r="E238" s="33"/>
      <c r="F238" s="33"/>
      <c r="G238" s="33"/>
      <c r="H238" s="33"/>
      <c r="I238" s="33"/>
      <c r="J238" s="33"/>
      <c r="K238" s="33"/>
    </row>
    <row r="239" spans="1:11" ht="15.75">
      <c r="A239" s="33" t="s">
        <v>1441</v>
      </c>
      <c r="B239" s="33" t="s">
        <v>991</v>
      </c>
      <c r="C239" s="33" t="s">
        <v>1442</v>
      </c>
      <c r="D239" s="33" t="s">
        <v>993</v>
      </c>
      <c r="E239" s="33"/>
      <c r="F239" s="33"/>
      <c r="G239" s="33"/>
      <c r="H239" s="33"/>
      <c r="I239" s="33"/>
      <c r="J239" s="33"/>
      <c r="K239" s="33"/>
    </row>
    <row r="240" spans="1:11" ht="15.75">
      <c r="A240" s="33" t="s">
        <v>1443</v>
      </c>
      <c r="B240" s="33" t="s">
        <v>991</v>
      </c>
      <c r="C240" s="33" t="s">
        <v>1444</v>
      </c>
      <c r="D240" s="33" t="s">
        <v>993</v>
      </c>
      <c r="E240" s="33"/>
      <c r="F240" s="33"/>
      <c r="G240" s="33"/>
      <c r="H240" s="33"/>
      <c r="I240" s="33"/>
      <c r="J240" s="33"/>
      <c r="K240" s="33"/>
    </row>
    <row r="241" spans="1:11" ht="15.75">
      <c r="A241" s="33" t="s">
        <v>927</v>
      </c>
      <c r="B241" s="33" t="s">
        <v>991</v>
      </c>
      <c r="C241" s="33" t="s">
        <v>1445</v>
      </c>
      <c r="D241" s="33" t="s">
        <v>1005</v>
      </c>
      <c r="E241" s="33"/>
      <c r="F241" s="33"/>
      <c r="G241" s="33"/>
      <c r="H241" s="33"/>
      <c r="I241" s="33"/>
      <c r="J241" s="33"/>
      <c r="K241" s="33"/>
    </row>
    <row r="242" spans="1:11" ht="15.75">
      <c r="A242" s="33" t="s">
        <v>1446</v>
      </c>
      <c r="B242" s="33" t="s">
        <v>991</v>
      </c>
      <c r="C242" s="33" t="s">
        <v>1447</v>
      </c>
      <c r="D242" s="33" t="s">
        <v>993</v>
      </c>
      <c r="E242" s="33"/>
      <c r="F242" s="33"/>
      <c r="G242" s="33"/>
      <c r="H242" s="33"/>
      <c r="I242" s="33"/>
      <c r="J242" s="33"/>
      <c r="K242" s="33"/>
    </row>
    <row r="243" spans="1:11" ht="15.75">
      <c r="A243" s="33" t="s">
        <v>1448</v>
      </c>
      <c r="B243" s="33" t="s">
        <v>991</v>
      </c>
      <c r="C243" s="33" t="s">
        <v>1449</v>
      </c>
      <c r="D243" s="33" t="s">
        <v>993</v>
      </c>
      <c r="E243" s="33"/>
      <c r="F243" s="33"/>
      <c r="G243" s="33"/>
      <c r="H243" s="33"/>
      <c r="I243" s="33"/>
      <c r="J243" s="33"/>
      <c r="K243" s="33"/>
    </row>
    <row r="244" spans="1:11" ht="15.75">
      <c r="A244" s="33" t="s">
        <v>1450</v>
      </c>
      <c r="B244" s="33" t="s">
        <v>991</v>
      </c>
      <c r="C244" s="33" t="s">
        <v>1451</v>
      </c>
      <c r="D244" s="33" t="s">
        <v>993</v>
      </c>
      <c r="E244" s="33"/>
      <c r="F244" s="33"/>
      <c r="G244" s="33"/>
      <c r="H244" s="33"/>
      <c r="I244" s="33"/>
      <c r="J244" s="33"/>
      <c r="K244" s="33"/>
    </row>
    <row r="245" spans="1:11" ht="15.75">
      <c r="A245" s="33" t="s">
        <v>1452</v>
      </c>
      <c r="B245" s="33" t="s">
        <v>991</v>
      </c>
      <c r="C245" s="33" t="s">
        <v>1453</v>
      </c>
      <c r="D245" s="33" t="s">
        <v>993</v>
      </c>
      <c r="E245" s="33"/>
      <c r="F245" s="33"/>
      <c r="G245" s="33"/>
      <c r="H245" s="33"/>
      <c r="I245" s="33"/>
      <c r="J245" s="33"/>
      <c r="K245" s="33"/>
    </row>
    <row r="246" spans="1:11" ht="15.75">
      <c r="A246" s="33" t="s">
        <v>1454</v>
      </c>
      <c r="B246" s="33" t="s">
        <v>991</v>
      </c>
      <c r="C246" s="33" t="s">
        <v>1455</v>
      </c>
      <c r="D246" s="33" t="s">
        <v>993</v>
      </c>
      <c r="E246" s="33"/>
      <c r="F246" s="33"/>
      <c r="G246" s="33"/>
      <c r="H246" s="33"/>
      <c r="I246" s="33"/>
      <c r="J246" s="33"/>
      <c r="K246" s="33"/>
    </row>
    <row r="247" spans="1:11" ht="15.75">
      <c r="A247" s="33" t="s">
        <v>1456</v>
      </c>
      <c r="B247" s="33" t="s">
        <v>991</v>
      </c>
      <c r="C247" s="33" t="s">
        <v>1457</v>
      </c>
      <c r="D247" s="33" t="s">
        <v>993</v>
      </c>
      <c r="E247" s="33"/>
      <c r="F247" s="33"/>
      <c r="G247" s="33"/>
      <c r="H247" s="33"/>
      <c r="I247" s="33"/>
      <c r="J247" s="33"/>
      <c r="K247" s="33"/>
    </row>
    <row r="248" spans="1:11" ht="15.75">
      <c r="A248" s="33" t="s">
        <v>1458</v>
      </c>
      <c r="B248" s="33" t="s">
        <v>991</v>
      </c>
      <c r="C248" s="33" t="s">
        <v>1459</v>
      </c>
      <c r="D248" s="33" t="s">
        <v>993</v>
      </c>
      <c r="E248" s="33"/>
      <c r="F248" s="33"/>
      <c r="G248" s="33"/>
      <c r="H248" s="33"/>
      <c r="I248" s="33"/>
      <c r="J248" s="33"/>
      <c r="K248" s="33"/>
    </row>
    <row r="249" spans="1:11" ht="15.75">
      <c r="A249" s="33" t="s">
        <v>1460</v>
      </c>
      <c r="B249" s="33" t="s">
        <v>991</v>
      </c>
      <c r="C249" s="33" t="s">
        <v>1461</v>
      </c>
      <c r="D249" s="33" t="s">
        <v>993</v>
      </c>
      <c r="E249" s="33"/>
      <c r="F249" s="33"/>
      <c r="G249" s="33"/>
      <c r="H249" s="33"/>
      <c r="I249" s="33"/>
      <c r="J249" s="33"/>
      <c r="K249" s="33"/>
    </row>
    <row r="250" spans="1:11" ht="15.75">
      <c r="A250" s="33" t="s">
        <v>1462</v>
      </c>
      <c r="B250" s="33" t="s">
        <v>991</v>
      </c>
      <c r="C250" s="33" t="s">
        <v>1463</v>
      </c>
      <c r="D250" s="33" t="s">
        <v>993</v>
      </c>
      <c r="E250" s="33"/>
      <c r="F250" s="33"/>
      <c r="G250" s="33"/>
      <c r="H250" s="33"/>
      <c r="I250" s="33"/>
      <c r="J250" s="33"/>
      <c r="K250" s="33"/>
    </row>
    <row r="251" spans="1:11" ht="15.75">
      <c r="A251" s="33" t="s">
        <v>1464</v>
      </c>
      <c r="B251" s="33" t="s">
        <v>991</v>
      </c>
      <c r="C251" s="33" t="s">
        <v>1465</v>
      </c>
      <c r="D251" s="33" t="s">
        <v>993</v>
      </c>
      <c r="E251" s="33"/>
      <c r="F251" s="33"/>
      <c r="G251" s="33"/>
      <c r="H251" s="33"/>
      <c r="I251" s="33"/>
      <c r="J251" s="33"/>
      <c r="K251" s="33"/>
    </row>
    <row r="252" spans="1:11" ht="15.75">
      <c r="A252" s="33" t="s">
        <v>1466</v>
      </c>
      <c r="B252" s="33" t="s">
        <v>991</v>
      </c>
      <c r="C252" s="33" t="s">
        <v>1467</v>
      </c>
      <c r="D252" s="33" t="s">
        <v>993</v>
      </c>
      <c r="E252" s="33"/>
      <c r="F252" s="33"/>
      <c r="G252" s="33"/>
      <c r="H252" s="33"/>
      <c r="I252" s="33"/>
      <c r="J252" s="33"/>
      <c r="K252" s="33"/>
    </row>
    <row r="253" spans="1:11" ht="15.75">
      <c r="A253" s="33" t="s">
        <v>1468</v>
      </c>
      <c r="B253" s="33" t="s">
        <v>991</v>
      </c>
      <c r="C253" s="33" t="s">
        <v>1469</v>
      </c>
      <c r="D253" s="33" t="s">
        <v>993</v>
      </c>
      <c r="E253" s="33"/>
      <c r="F253" s="33"/>
      <c r="G253" s="33"/>
      <c r="H253" s="33"/>
      <c r="I253" s="33"/>
      <c r="J253" s="33"/>
      <c r="K253" s="33"/>
    </row>
    <row r="254" spans="1:11" ht="15.75">
      <c r="A254" s="33" t="s">
        <v>1470</v>
      </c>
      <c r="B254" s="33" t="s">
        <v>991</v>
      </c>
      <c r="C254" s="33" t="s">
        <v>1471</v>
      </c>
      <c r="D254" s="33" t="s">
        <v>993</v>
      </c>
      <c r="E254" s="33"/>
      <c r="F254" s="33"/>
      <c r="G254" s="33"/>
      <c r="H254" s="33"/>
      <c r="I254" s="33"/>
      <c r="J254" s="33"/>
      <c r="K254" s="33"/>
    </row>
    <row r="255" spans="1:11" ht="15.75">
      <c r="A255" s="33" t="s">
        <v>1472</v>
      </c>
      <c r="B255" s="33" t="s">
        <v>991</v>
      </c>
      <c r="C255" s="33" t="s">
        <v>1473</v>
      </c>
      <c r="D255" s="33" t="s">
        <v>993</v>
      </c>
      <c r="E255" s="33"/>
      <c r="F255" s="33"/>
      <c r="G255" s="33"/>
      <c r="H255" s="33"/>
      <c r="I255" s="33"/>
      <c r="J255" s="33"/>
      <c r="K255" s="33"/>
    </row>
    <row r="256" spans="1:11" ht="15.75">
      <c r="A256" s="33" t="s">
        <v>1474</v>
      </c>
      <c r="B256" s="33" t="s">
        <v>991</v>
      </c>
      <c r="C256" s="33" t="s">
        <v>1475</v>
      </c>
      <c r="D256" s="33" t="s">
        <v>993</v>
      </c>
      <c r="E256" s="33"/>
      <c r="F256" s="33"/>
      <c r="G256" s="33"/>
      <c r="H256" s="33"/>
      <c r="I256" s="33"/>
      <c r="J256" s="33"/>
      <c r="K256" s="33"/>
    </row>
    <row r="257" spans="1:11" ht="15.75">
      <c r="A257" s="33" t="s">
        <v>1476</v>
      </c>
      <c r="B257" s="33" t="s">
        <v>991</v>
      </c>
      <c r="C257" s="33" t="s">
        <v>1477</v>
      </c>
      <c r="D257" s="33" t="s">
        <v>993</v>
      </c>
      <c r="E257" s="33"/>
      <c r="F257" s="33"/>
      <c r="G257" s="33"/>
      <c r="H257" s="33"/>
      <c r="I257" s="33"/>
      <c r="J257" s="33"/>
      <c r="K257" s="33"/>
    </row>
    <row r="258" spans="1:11" ht="15.75">
      <c r="A258" s="33" t="s">
        <v>1478</v>
      </c>
      <c r="B258" s="33" t="s">
        <v>991</v>
      </c>
      <c r="C258" s="33" t="s">
        <v>1479</v>
      </c>
      <c r="D258" s="33" t="s">
        <v>993</v>
      </c>
      <c r="E258" s="33"/>
      <c r="F258" s="33"/>
      <c r="G258" s="33"/>
      <c r="H258" s="33"/>
      <c r="I258" s="33"/>
      <c r="J258" s="33"/>
      <c r="K258" s="33"/>
    </row>
    <row r="259" spans="1:11" ht="15.75">
      <c r="A259" s="33" t="s">
        <v>1480</v>
      </c>
      <c r="B259" s="33" t="s">
        <v>991</v>
      </c>
      <c r="C259" s="33" t="s">
        <v>1481</v>
      </c>
      <c r="D259" s="33" t="s">
        <v>993</v>
      </c>
      <c r="E259" s="33"/>
      <c r="F259" s="33"/>
      <c r="G259" s="33"/>
      <c r="H259" s="33"/>
      <c r="I259" s="33"/>
      <c r="J259" s="33"/>
      <c r="K259" s="33"/>
    </row>
    <row r="260" spans="1:11" ht="15.75">
      <c r="A260" s="33" t="s">
        <v>1482</v>
      </c>
      <c r="B260" s="33" t="s">
        <v>991</v>
      </c>
      <c r="C260" s="33" t="s">
        <v>1483</v>
      </c>
      <c r="D260" s="33" t="s">
        <v>993</v>
      </c>
      <c r="E260" s="33"/>
      <c r="F260" s="33"/>
      <c r="G260" s="33"/>
      <c r="H260" s="33"/>
      <c r="I260" s="33"/>
      <c r="J260" s="33"/>
      <c r="K260" s="33"/>
    </row>
    <row r="261" spans="1:11" ht="15.75">
      <c r="A261" s="33" t="s">
        <v>1484</v>
      </c>
      <c r="B261" s="33" t="s">
        <v>991</v>
      </c>
      <c r="C261" s="33" t="s">
        <v>1485</v>
      </c>
      <c r="D261" s="33" t="s">
        <v>993</v>
      </c>
      <c r="E261" s="33"/>
      <c r="F261" s="33"/>
      <c r="G261" s="33"/>
      <c r="H261" s="33"/>
      <c r="I261" s="33"/>
      <c r="J261" s="33"/>
      <c r="K261" s="33"/>
    </row>
    <row r="262" spans="1:11" ht="15.75">
      <c r="A262" s="33" t="s">
        <v>1486</v>
      </c>
      <c r="B262" s="33" t="s">
        <v>991</v>
      </c>
      <c r="C262" s="33" t="s">
        <v>1487</v>
      </c>
      <c r="D262" s="33" t="s">
        <v>993</v>
      </c>
      <c r="E262" s="33"/>
      <c r="F262" s="33"/>
      <c r="G262" s="33"/>
      <c r="H262" s="33"/>
      <c r="I262" s="33"/>
      <c r="J262" s="33"/>
      <c r="K262" s="33"/>
    </row>
    <row r="263" spans="1:11" ht="15.75">
      <c r="A263" s="33" t="s">
        <v>1488</v>
      </c>
      <c r="B263" s="33" t="s">
        <v>991</v>
      </c>
      <c r="C263" s="33" t="s">
        <v>1489</v>
      </c>
      <c r="D263" s="33" t="s">
        <v>993</v>
      </c>
      <c r="E263" s="33"/>
      <c r="F263" s="33"/>
      <c r="G263" s="33"/>
      <c r="H263" s="33"/>
      <c r="I263" s="33"/>
      <c r="J263" s="33"/>
      <c r="K263" s="33"/>
    </row>
    <row r="264" spans="1:11" ht="15.75">
      <c r="A264" s="33" t="s">
        <v>1490</v>
      </c>
      <c r="B264" s="33" t="s">
        <v>991</v>
      </c>
      <c r="C264" s="33" t="s">
        <v>1491</v>
      </c>
      <c r="D264" s="33" t="s">
        <v>993</v>
      </c>
      <c r="E264" s="33"/>
      <c r="F264" s="33"/>
      <c r="G264" s="33"/>
      <c r="H264" s="33"/>
      <c r="I264" s="33"/>
      <c r="J264" s="33"/>
      <c r="K264" s="33"/>
    </row>
    <row r="265" spans="1:11" ht="15.75">
      <c r="A265" s="33" t="s">
        <v>1492</v>
      </c>
      <c r="B265" s="33" t="s">
        <v>991</v>
      </c>
      <c r="C265" s="33" t="s">
        <v>1493</v>
      </c>
      <c r="D265" s="33" t="s">
        <v>993</v>
      </c>
      <c r="E265" s="33"/>
      <c r="F265" s="33"/>
      <c r="G265" s="33"/>
      <c r="H265" s="33"/>
      <c r="I265" s="33"/>
      <c r="J265" s="33"/>
      <c r="K265" s="33"/>
    </row>
    <row r="266" spans="1:11" ht="15.75">
      <c r="A266" s="33" t="s">
        <v>1494</v>
      </c>
      <c r="B266" s="33" t="s">
        <v>991</v>
      </c>
      <c r="C266" s="33" t="s">
        <v>1495</v>
      </c>
      <c r="D266" s="33" t="s">
        <v>993</v>
      </c>
      <c r="E266" s="33"/>
      <c r="F266" s="33"/>
      <c r="G266" s="33"/>
      <c r="H266" s="33"/>
      <c r="I266" s="33"/>
      <c r="J266" s="33"/>
      <c r="K266" s="33"/>
    </row>
    <row r="267" spans="1:11" ht="15.75">
      <c r="A267" s="33" t="s">
        <v>962</v>
      </c>
      <c r="B267" s="33" t="s">
        <v>991</v>
      </c>
      <c r="C267" s="33" t="s">
        <v>1496</v>
      </c>
      <c r="D267" s="33" t="s">
        <v>1005</v>
      </c>
      <c r="E267" s="33"/>
      <c r="F267" s="33"/>
      <c r="G267" s="33"/>
      <c r="H267" s="33"/>
      <c r="I267" s="33"/>
      <c r="J267" s="33"/>
      <c r="K267" s="33"/>
    </row>
    <row r="268" spans="1:11" ht="15.75">
      <c r="A268" s="33" t="s">
        <v>938</v>
      </c>
      <c r="B268" s="33" t="s">
        <v>991</v>
      </c>
      <c r="C268" s="33" t="s">
        <v>1497</v>
      </c>
      <c r="D268" s="33" t="s">
        <v>1005</v>
      </c>
      <c r="E268" s="33"/>
      <c r="F268" s="33"/>
      <c r="G268" s="33"/>
      <c r="H268" s="33"/>
      <c r="I268" s="33"/>
      <c r="J268" s="33"/>
      <c r="K268" s="33"/>
    </row>
    <row r="269" spans="1:11" ht="15.75">
      <c r="A269" s="33" t="s">
        <v>1498</v>
      </c>
      <c r="B269" s="33" t="s">
        <v>991</v>
      </c>
      <c r="C269" s="33" t="s">
        <v>1499</v>
      </c>
      <c r="D269" s="33" t="s">
        <v>993</v>
      </c>
      <c r="E269" s="33"/>
      <c r="F269" s="33"/>
      <c r="G269" s="33"/>
      <c r="H269" s="33"/>
      <c r="I269" s="33"/>
      <c r="J269" s="33"/>
      <c r="K269" s="33"/>
    </row>
    <row r="270" spans="1:11" ht="15.75">
      <c r="A270" s="33" t="s">
        <v>1500</v>
      </c>
      <c r="B270" s="33" t="s">
        <v>991</v>
      </c>
      <c r="C270" s="33" t="s">
        <v>1501</v>
      </c>
      <c r="D270" s="33" t="s">
        <v>993</v>
      </c>
      <c r="E270" s="33"/>
      <c r="F270" s="33"/>
      <c r="G270" s="33"/>
      <c r="H270" s="33"/>
      <c r="I270" s="33"/>
      <c r="J270" s="33"/>
      <c r="K270" s="33"/>
    </row>
    <row r="271" spans="1:11" ht="15.75">
      <c r="A271" s="33" t="s">
        <v>1502</v>
      </c>
      <c r="B271" s="33" t="s">
        <v>991</v>
      </c>
      <c r="C271" s="33" t="s">
        <v>1503</v>
      </c>
      <c r="D271" s="33" t="s">
        <v>993</v>
      </c>
      <c r="E271" s="33"/>
      <c r="F271" s="33"/>
      <c r="G271" s="33"/>
      <c r="H271" s="33"/>
      <c r="I271" s="33"/>
      <c r="J271" s="33"/>
      <c r="K271" s="33"/>
    </row>
    <row r="272" spans="1:11" ht="15.75">
      <c r="A272" s="33" t="s">
        <v>1504</v>
      </c>
      <c r="B272" s="33" t="s">
        <v>991</v>
      </c>
      <c r="C272" s="33" t="s">
        <v>1505</v>
      </c>
      <c r="D272" s="33" t="s">
        <v>993</v>
      </c>
      <c r="E272" s="33"/>
      <c r="F272" s="33"/>
      <c r="G272" s="33"/>
      <c r="H272" s="33"/>
      <c r="I272" s="33"/>
      <c r="J272" s="33"/>
      <c r="K272" s="33"/>
    </row>
    <row r="273" spans="1:11" ht="15.75">
      <c r="A273" s="33" t="s">
        <v>1506</v>
      </c>
      <c r="B273" s="33" t="s">
        <v>991</v>
      </c>
      <c r="C273" s="33" t="s">
        <v>1507</v>
      </c>
      <c r="D273" s="33" t="s">
        <v>993</v>
      </c>
      <c r="E273" s="33"/>
      <c r="F273" s="33"/>
      <c r="G273" s="33"/>
      <c r="H273" s="33"/>
      <c r="I273" s="33"/>
      <c r="J273" s="33"/>
      <c r="K273" s="33"/>
    </row>
    <row r="274" spans="1:11" ht="15.75">
      <c r="A274" s="33" t="s">
        <v>1508</v>
      </c>
      <c r="B274" s="33" t="s">
        <v>991</v>
      </c>
      <c r="C274" s="33" t="s">
        <v>1509</v>
      </c>
      <c r="D274" s="33" t="s">
        <v>993</v>
      </c>
      <c r="E274" s="33"/>
      <c r="F274" s="33"/>
      <c r="G274" s="33"/>
      <c r="H274" s="33"/>
      <c r="I274" s="33"/>
      <c r="J274" s="33"/>
      <c r="K274" s="33"/>
    </row>
    <row r="275" spans="1:11" ht="15.75">
      <c r="A275" s="33" t="s">
        <v>957</v>
      </c>
      <c r="B275" s="33" t="s">
        <v>991</v>
      </c>
      <c r="C275" s="33" t="s">
        <v>1510</v>
      </c>
      <c r="D275" s="33" t="s">
        <v>1005</v>
      </c>
      <c r="E275" s="33"/>
      <c r="F275" s="33"/>
      <c r="G275" s="33"/>
      <c r="H275" s="33"/>
      <c r="I275" s="33"/>
      <c r="J275" s="33"/>
      <c r="K275" s="33"/>
    </row>
    <row r="276" spans="1:11" ht="15.75">
      <c r="A276" s="33" t="s">
        <v>949</v>
      </c>
      <c r="B276" s="33" t="s">
        <v>991</v>
      </c>
      <c r="C276" s="33" t="s">
        <v>1511</v>
      </c>
      <c r="D276" s="33" t="s">
        <v>1005</v>
      </c>
      <c r="E276" s="33"/>
      <c r="F276" s="33"/>
      <c r="G276" s="33"/>
      <c r="H276" s="33"/>
      <c r="I276" s="33"/>
      <c r="J276" s="33"/>
      <c r="K276" s="33"/>
    </row>
    <row r="277" spans="1:11" ht="15.75">
      <c r="A277" s="33" t="s">
        <v>1512</v>
      </c>
      <c r="B277" s="33" t="s">
        <v>991</v>
      </c>
      <c r="C277" s="33" t="s">
        <v>1513</v>
      </c>
      <c r="D277" s="33" t="s">
        <v>993</v>
      </c>
      <c r="E277" s="33"/>
      <c r="F277" s="33"/>
      <c r="G277" s="33"/>
      <c r="H277" s="33"/>
      <c r="I277" s="33"/>
      <c r="J277" s="33"/>
      <c r="K277" s="33"/>
    </row>
    <row r="278" spans="1:11" ht="15.75">
      <c r="A278" s="33" t="s">
        <v>1514</v>
      </c>
      <c r="B278" s="33" t="s">
        <v>991</v>
      </c>
      <c r="C278" s="33" t="s">
        <v>1515</v>
      </c>
      <c r="D278" s="33" t="s">
        <v>993</v>
      </c>
      <c r="E278" s="33"/>
      <c r="F278" s="33"/>
      <c r="G278" s="33"/>
      <c r="H278" s="33"/>
      <c r="I278" s="33"/>
      <c r="J278" s="33"/>
      <c r="K278" s="33"/>
    </row>
    <row r="279" spans="1:11" ht="15.75">
      <c r="A279" s="33" t="s">
        <v>1516</v>
      </c>
      <c r="B279" s="33" t="s">
        <v>991</v>
      </c>
      <c r="C279" s="33" t="s">
        <v>1517</v>
      </c>
      <c r="D279" s="33" t="s">
        <v>1005</v>
      </c>
      <c r="E279" s="33"/>
      <c r="F279" s="33"/>
      <c r="G279" s="33"/>
      <c r="H279" s="33"/>
      <c r="I279" s="33"/>
      <c r="J279" s="33"/>
      <c r="K279" s="33"/>
    </row>
    <row r="280" spans="1:11" ht="15.75">
      <c r="A280" s="33" t="s">
        <v>1518</v>
      </c>
      <c r="B280" s="33" t="s">
        <v>991</v>
      </c>
      <c r="C280" s="33" t="s">
        <v>1519</v>
      </c>
      <c r="D280" s="33" t="s">
        <v>993</v>
      </c>
      <c r="E280" s="33"/>
      <c r="F280" s="33"/>
      <c r="G280" s="33"/>
      <c r="H280" s="33"/>
      <c r="I280" s="33"/>
      <c r="J280" s="33"/>
      <c r="K280" s="33"/>
    </row>
    <row r="281" spans="1:11" ht="15.75">
      <c r="A281" s="33" t="s">
        <v>1520</v>
      </c>
      <c r="B281" s="33" t="s">
        <v>991</v>
      </c>
      <c r="C281" s="33" t="s">
        <v>1521</v>
      </c>
      <c r="D281" s="33" t="s">
        <v>993</v>
      </c>
      <c r="E281" s="33"/>
      <c r="F281" s="33"/>
      <c r="G281" s="33"/>
      <c r="H281" s="33"/>
      <c r="I281" s="33"/>
      <c r="J281" s="33"/>
      <c r="K281" s="33"/>
    </row>
    <row r="282" spans="1:11" ht="15.75">
      <c r="A282" s="33" t="s">
        <v>1522</v>
      </c>
      <c r="B282" s="33" t="s">
        <v>991</v>
      </c>
      <c r="C282" s="33" t="s">
        <v>1523</v>
      </c>
      <c r="D282" s="33" t="s">
        <v>993</v>
      </c>
      <c r="E282" s="33"/>
      <c r="F282" s="33"/>
      <c r="G282" s="33"/>
      <c r="H282" s="33"/>
      <c r="I282" s="33"/>
      <c r="J282" s="33"/>
      <c r="K282" s="33"/>
    </row>
    <row r="283" spans="1:11" ht="15.75">
      <c r="A283" s="33" t="s">
        <v>1524</v>
      </c>
      <c r="B283" s="33" t="s">
        <v>991</v>
      </c>
      <c r="C283" s="33" t="s">
        <v>1525</v>
      </c>
      <c r="D283" s="33" t="s">
        <v>993</v>
      </c>
      <c r="E283" s="33"/>
      <c r="F283" s="33"/>
      <c r="G283" s="33"/>
      <c r="H283" s="33"/>
      <c r="I283" s="33"/>
      <c r="J283" s="33"/>
      <c r="K283" s="33"/>
    </row>
    <row r="284" spans="1:11" ht="15.75">
      <c r="A284" s="33" t="s">
        <v>1526</v>
      </c>
      <c r="B284" s="33" t="s">
        <v>991</v>
      </c>
      <c r="C284" s="33" t="s">
        <v>1527</v>
      </c>
      <c r="D284" s="33" t="s">
        <v>993</v>
      </c>
      <c r="E284" s="33"/>
      <c r="F284" s="33"/>
      <c r="G284" s="33"/>
      <c r="H284" s="33"/>
      <c r="I284" s="33"/>
      <c r="J284" s="33"/>
      <c r="K284" s="33"/>
    </row>
    <row r="285" spans="1:11" ht="15.75">
      <c r="A285" s="33" t="s">
        <v>1528</v>
      </c>
      <c r="B285" s="33" t="s">
        <v>991</v>
      </c>
      <c r="C285" s="33" t="s">
        <v>1529</v>
      </c>
      <c r="D285" s="33" t="s">
        <v>993</v>
      </c>
      <c r="E285" s="33"/>
      <c r="F285" s="33"/>
      <c r="G285" s="33"/>
      <c r="H285" s="33"/>
      <c r="I285" s="33"/>
      <c r="J285" s="33"/>
      <c r="K285" s="33"/>
    </row>
    <row r="286" spans="1:11" ht="15.75">
      <c r="A286" s="33" t="s">
        <v>1530</v>
      </c>
      <c r="B286" s="33" t="s">
        <v>991</v>
      </c>
      <c r="C286" s="33" t="s">
        <v>1531</v>
      </c>
      <c r="D286" s="33" t="s">
        <v>993</v>
      </c>
      <c r="E286" s="33"/>
      <c r="F286" s="33"/>
      <c r="G286" s="33"/>
      <c r="H286" s="33"/>
      <c r="I286" s="33"/>
      <c r="J286" s="33"/>
      <c r="K286" s="33"/>
    </row>
    <row r="287" spans="1:11" ht="15.75">
      <c r="A287" s="33" t="s">
        <v>1532</v>
      </c>
      <c r="B287" s="33" t="s">
        <v>991</v>
      </c>
      <c r="C287" s="33" t="s">
        <v>1533</v>
      </c>
      <c r="D287" s="33" t="s">
        <v>993</v>
      </c>
      <c r="E287" s="33"/>
      <c r="F287" s="33"/>
      <c r="G287" s="33"/>
      <c r="H287" s="33"/>
      <c r="I287" s="33"/>
      <c r="J287" s="33"/>
      <c r="K287" s="33"/>
    </row>
    <row r="288" spans="1:11" ht="15.75">
      <c r="A288" s="33" t="s">
        <v>1534</v>
      </c>
      <c r="B288" s="33" t="s">
        <v>991</v>
      </c>
      <c r="C288" s="33" t="s">
        <v>1535</v>
      </c>
      <c r="D288" s="33" t="s">
        <v>993</v>
      </c>
      <c r="E288" s="33"/>
      <c r="F288" s="33"/>
      <c r="G288" s="33"/>
      <c r="H288" s="33"/>
      <c r="I288" s="33"/>
      <c r="J288" s="33"/>
      <c r="K288" s="33"/>
    </row>
    <row r="289" spans="1:11" ht="15.75">
      <c r="A289" s="33" t="s">
        <v>1536</v>
      </c>
      <c r="B289" s="33" t="s">
        <v>991</v>
      </c>
      <c r="C289" s="33" t="s">
        <v>1537</v>
      </c>
      <c r="D289" s="33" t="s">
        <v>993</v>
      </c>
      <c r="E289" s="33"/>
      <c r="F289" s="33"/>
      <c r="G289" s="33"/>
      <c r="H289" s="33"/>
      <c r="I289" s="33"/>
      <c r="J289" s="33"/>
      <c r="K289" s="33"/>
    </row>
    <row r="290" spans="1:11" ht="15.75">
      <c r="A290" s="33" t="s">
        <v>1538</v>
      </c>
      <c r="B290" s="33" t="s">
        <v>991</v>
      </c>
      <c r="C290" s="33" t="s">
        <v>1539</v>
      </c>
      <c r="D290" s="33" t="s">
        <v>993</v>
      </c>
      <c r="E290" s="33"/>
      <c r="F290" s="33"/>
      <c r="G290" s="33"/>
      <c r="H290" s="33"/>
      <c r="I290" s="33"/>
      <c r="J290" s="33"/>
      <c r="K290" s="33"/>
    </row>
    <row r="291" spans="1:11" ht="15.75">
      <c r="A291" s="33" t="s">
        <v>1540</v>
      </c>
      <c r="B291" s="33" t="s">
        <v>991</v>
      </c>
      <c r="C291" s="33" t="s">
        <v>1541</v>
      </c>
      <c r="D291" s="33" t="s">
        <v>993</v>
      </c>
      <c r="E291" s="33"/>
      <c r="F291" s="33"/>
      <c r="G291" s="33"/>
      <c r="H291" s="33"/>
      <c r="I291" s="33"/>
      <c r="J291" s="33"/>
      <c r="K291" s="33"/>
    </row>
    <row r="292" spans="1:11" ht="15.75">
      <c r="A292" s="33" t="s">
        <v>1542</v>
      </c>
      <c r="B292" s="33" t="s">
        <v>991</v>
      </c>
      <c r="C292" s="33" t="s">
        <v>1543</v>
      </c>
      <c r="D292" s="33" t="s">
        <v>993</v>
      </c>
      <c r="E292" s="33"/>
      <c r="F292" s="33"/>
      <c r="G292" s="33"/>
      <c r="H292" s="33"/>
      <c r="I292" s="33"/>
      <c r="J292" s="33"/>
      <c r="K292" s="33"/>
    </row>
    <row r="293" spans="1:11" ht="15.75">
      <c r="A293" s="33" t="s">
        <v>1544</v>
      </c>
      <c r="B293" s="33" t="s">
        <v>991</v>
      </c>
      <c r="C293" s="33" t="s">
        <v>1545</v>
      </c>
      <c r="D293" s="33" t="s">
        <v>993</v>
      </c>
      <c r="E293" s="33"/>
      <c r="F293" s="33"/>
      <c r="G293" s="33"/>
      <c r="H293" s="33"/>
      <c r="I293" s="33"/>
      <c r="J293" s="33"/>
      <c r="K293" s="33"/>
    </row>
    <row r="294" spans="1:11" ht="15.75">
      <c r="A294" s="33" t="s">
        <v>1546</v>
      </c>
      <c r="B294" s="33" t="s">
        <v>991</v>
      </c>
      <c r="C294" s="33" t="s">
        <v>1547</v>
      </c>
      <c r="D294" s="33" t="s">
        <v>993</v>
      </c>
      <c r="E294" s="33"/>
      <c r="F294" s="33"/>
      <c r="G294" s="33"/>
      <c r="H294" s="33"/>
      <c r="I294" s="33"/>
      <c r="J294" s="33"/>
      <c r="K294" s="33"/>
    </row>
    <row r="295" spans="1:11" ht="15.75">
      <c r="A295" s="33" t="s">
        <v>1548</v>
      </c>
      <c r="B295" s="33" t="s">
        <v>991</v>
      </c>
      <c r="C295" s="33" t="s">
        <v>1549</v>
      </c>
      <c r="D295" s="33" t="s">
        <v>993</v>
      </c>
      <c r="E295" s="33"/>
      <c r="F295" s="33"/>
      <c r="G295" s="33"/>
      <c r="H295" s="33"/>
      <c r="I295" s="33"/>
      <c r="J295" s="33"/>
      <c r="K295" s="33"/>
    </row>
    <row r="296" spans="1:11" ht="15.75">
      <c r="A296" s="33" t="s">
        <v>1550</v>
      </c>
      <c r="B296" s="33" t="s">
        <v>991</v>
      </c>
      <c r="C296" s="33" t="s">
        <v>1551</v>
      </c>
      <c r="D296" s="33" t="s">
        <v>993</v>
      </c>
      <c r="E296" s="33"/>
      <c r="F296" s="33"/>
      <c r="G296" s="33"/>
      <c r="H296" s="33"/>
      <c r="I296" s="33"/>
      <c r="J296" s="33"/>
      <c r="K296" s="33"/>
    </row>
    <row r="297" spans="1:11" ht="15.75">
      <c r="A297" s="33" t="s">
        <v>1552</v>
      </c>
      <c r="B297" s="33" t="s">
        <v>991</v>
      </c>
      <c r="C297" s="33" t="s">
        <v>1553</v>
      </c>
      <c r="D297" s="33" t="s">
        <v>993</v>
      </c>
      <c r="E297" s="33"/>
      <c r="F297" s="33"/>
      <c r="G297" s="33"/>
      <c r="H297" s="33"/>
      <c r="I297" s="33"/>
      <c r="J297" s="33"/>
      <c r="K297" s="33"/>
    </row>
    <row r="298" spans="1:11" ht="15.75">
      <c r="A298" s="33" t="s">
        <v>1554</v>
      </c>
      <c r="B298" s="33" t="s">
        <v>991</v>
      </c>
      <c r="C298" s="33" t="s">
        <v>1555</v>
      </c>
      <c r="D298" s="33" t="s">
        <v>993</v>
      </c>
      <c r="E298" s="33"/>
      <c r="F298" s="33"/>
      <c r="G298" s="33"/>
      <c r="H298" s="33"/>
      <c r="I298" s="33"/>
      <c r="J298" s="33"/>
      <c r="K298" s="33"/>
    </row>
    <row r="299" spans="1:11" ht="15.75">
      <c r="A299" s="33" t="s">
        <v>1556</v>
      </c>
      <c r="B299" s="33" t="s">
        <v>991</v>
      </c>
      <c r="C299" s="33" t="s">
        <v>1557</v>
      </c>
      <c r="D299" s="33" t="s">
        <v>993</v>
      </c>
      <c r="E299" s="33"/>
      <c r="F299" s="33"/>
      <c r="G299" s="33"/>
      <c r="H299" s="33"/>
      <c r="I299" s="33"/>
      <c r="J299" s="33"/>
      <c r="K299" s="33"/>
    </row>
    <row r="300" spans="1:11" ht="15.75">
      <c r="A300" s="33" t="s">
        <v>1558</v>
      </c>
      <c r="B300" s="33" t="s">
        <v>991</v>
      </c>
      <c r="C300" s="33" t="s">
        <v>1559</v>
      </c>
      <c r="D300" s="33" t="s">
        <v>993</v>
      </c>
      <c r="E300" s="33"/>
      <c r="F300" s="33"/>
      <c r="G300" s="33"/>
      <c r="H300" s="33"/>
      <c r="I300" s="33"/>
      <c r="J300" s="33"/>
      <c r="K300" s="33"/>
    </row>
    <row r="301" spans="1:11" ht="15.75">
      <c r="A301" s="33" t="s">
        <v>1560</v>
      </c>
      <c r="B301" s="33" t="s">
        <v>991</v>
      </c>
      <c r="C301" s="33" t="s">
        <v>1561</v>
      </c>
      <c r="D301" s="33" t="s">
        <v>993</v>
      </c>
      <c r="E301" s="33"/>
      <c r="F301" s="33"/>
      <c r="G301" s="33"/>
      <c r="H301" s="33"/>
      <c r="I301" s="33"/>
      <c r="J301" s="33"/>
      <c r="K301" s="33"/>
    </row>
    <row r="302" spans="1:11" ht="15.75">
      <c r="A302" s="33" t="s">
        <v>1562</v>
      </c>
      <c r="B302" s="33" t="s">
        <v>991</v>
      </c>
      <c r="C302" s="33" t="s">
        <v>1563</v>
      </c>
      <c r="D302" s="33" t="s">
        <v>993</v>
      </c>
      <c r="E302" s="33"/>
      <c r="F302" s="33"/>
      <c r="G302" s="33"/>
      <c r="H302" s="33"/>
      <c r="I302" s="33"/>
      <c r="J302" s="33"/>
      <c r="K302" s="33"/>
    </row>
    <row r="303" spans="1:11" ht="15.75">
      <c r="A303" s="33" t="s">
        <v>1564</v>
      </c>
      <c r="B303" s="33" t="s">
        <v>991</v>
      </c>
      <c r="C303" s="33" t="s">
        <v>1565</v>
      </c>
      <c r="D303" s="33" t="s">
        <v>1005</v>
      </c>
      <c r="E303" s="33"/>
      <c r="F303" s="33"/>
      <c r="G303" s="33"/>
      <c r="H303" s="33"/>
      <c r="I303" s="33"/>
      <c r="J303" s="33"/>
      <c r="K303" s="33"/>
    </row>
    <row r="304" spans="1:11" ht="15.75">
      <c r="A304" s="33" t="s">
        <v>1566</v>
      </c>
      <c r="B304" s="33" t="s">
        <v>991</v>
      </c>
      <c r="C304" s="33" t="s">
        <v>1567</v>
      </c>
      <c r="D304" s="33" t="s">
        <v>993</v>
      </c>
      <c r="E304" s="33"/>
      <c r="F304" s="33"/>
      <c r="G304" s="33"/>
      <c r="H304" s="33"/>
      <c r="I304" s="33"/>
      <c r="J304" s="33"/>
      <c r="K304" s="33"/>
    </row>
    <row r="305" spans="1:11" ht="15.75">
      <c r="A305" s="33" t="s">
        <v>1568</v>
      </c>
      <c r="B305" s="33" t="s">
        <v>991</v>
      </c>
      <c r="C305" s="33" t="s">
        <v>1569</v>
      </c>
      <c r="D305" s="33" t="s">
        <v>993</v>
      </c>
      <c r="E305" s="33"/>
      <c r="F305" s="33"/>
      <c r="G305" s="33"/>
      <c r="H305" s="33"/>
      <c r="I305" s="33"/>
      <c r="J305" s="33"/>
      <c r="K305" s="33"/>
    </row>
    <row r="306" spans="1:11" ht="15.75">
      <c r="A306" s="33" t="s">
        <v>1570</v>
      </c>
      <c r="B306" s="33" t="s">
        <v>991</v>
      </c>
      <c r="C306" s="33" t="s">
        <v>1571</v>
      </c>
      <c r="D306" s="33" t="s">
        <v>993</v>
      </c>
      <c r="E306" s="33"/>
      <c r="F306" s="33"/>
      <c r="G306" s="33"/>
      <c r="H306" s="33"/>
      <c r="I306" s="33"/>
      <c r="J306" s="33"/>
      <c r="K306" s="33"/>
    </row>
    <row r="307" spans="1:11" ht="15.75">
      <c r="A307" s="33" t="s">
        <v>1572</v>
      </c>
      <c r="B307" s="33" t="s">
        <v>991</v>
      </c>
      <c r="C307" s="33" t="s">
        <v>1573</v>
      </c>
      <c r="D307" s="33" t="s">
        <v>993</v>
      </c>
      <c r="E307" s="33"/>
      <c r="F307" s="33"/>
      <c r="G307" s="33"/>
      <c r="H307" s="33"/>
      <c r="I307" s="33"/>
      <c r="J307" s="33"/>
      <c r="K307" s="33"/>
    </row>
    <row r="308" spans="1:11" ht="15.75">
      <c r="A308" s="33" t="s">
        <v>1574</v>
      </c>
      <c r="B308" s="33" t="s">
        <v>991</v>
      </c>
      <c r="C308" s="33" t="s">
        <v>1575</v>
      </c>
      <c r="D308" s="33" t="s">
        <v>993</v>
      </c>
      <c r="E308" s="33"/>
      <c r="F308" s="33"/>
      <c r="G308" s="33"/>
      <c r="H308" s="33"/>
      <c r="I308" s="33"/>
      <c r="J308" s="33"/>
      <c r="K308" s="33"/>
    </row>
    <row r="309" spans="1:11" ht="15.75">
      <c r="A309" s="33" t="s">
        <v>1576</v>
      </c>
      <c r="B309" s="33" t="s">
        <v>991</v>
      </c>
      <c r="C309" s="33" t="s">
        <v>1577</v>
      </c>
      <c r="D309" s="33" t="s">
        <v>993</v>
      </c>
      <c r="E309" s="33"/>
      <c r="F309" s="33"/>
      <c r="G309" s="33"/>
      <c r="H309" s="33"/>
      <c r="I309" s="33"/>
      <c r="J309" s="33"/>
      <c r="K309" s="33"/>
    </row>
    <row r="310" spans="1:11" ht="15.75">
      <c r="A310" s="33" t="s">
        <v>1578</v>
      </c>
      <c r="B310" s="33" t="s">
        <v>991</v>
      </c>
      <c r="C310" s="33" t="s">
        <v>1579</v>
      </c>
      <c r="D310" s="33" t="s">
        <v>993</v>
      </c>
      <c r="E310" s="33"/>
      <c r="F310" s="33"/>
      <c r="G310" s="33"/>
      <c r="H310" s="33"/>
      <c r="I310" s="33"/>
      <c r="J310" s="33"/>
      <c r="K310" s="33"/>
    </row>
    <row r="311" spans="1:11" ht="15.75">
      <c r="A311" s="33" t="s">
        <v>1580</v>
      </c>
      <c r="B311" s="33" t="s">
        <v>991</v>
      </c>
      <c r="C311" s="33" t="s">
        <v>1581</v>
      </c>
      <c r="D311" s="33" t="s">
        <v>993</v>
      </c>
      <c r="E311" s="33"/>
      <c r="F311" s="33"/>
      <c r="G311" s="33"/>
      <c r="H311" s="33"/>
      <c r="I311" s="33"/>
      <c r="J311" s="33"/>
      <c r="K311" s="33"/>
    </row>
    <row r="312" spans="1:11" ht="15.75">
      <c r="A312" s="33" t="s">
        <v>1582</v>
      </c>
      <c r="B312" s="33" t="s">
        <v>991</v>
      </c>
      <c r="C312" s="33" t="s">
        <v>1583</v>
      </c>
      <c r="D312" s="33" t="s">
        <v>993</v>
      </c>
      <c r="E312" s="33"/>
      <c r="F312" s="33"/>
      <c r="G312" s="33"/>
      <c r="H312" s="33"/>
      <c r="I312" s="33"/>
      <c r="J312" s="33"/>
      <c r="K312" s="33"/>
    </row>
    <row r="313" spans="1:11" ht="15.75">
      <c r="A313" s="33" t="s">
        <v>1584</v>
      </c>
      <c r="B313" s="33" t="s">
        <v>991</v>
      </c>
      <c r="C313" s="33" t="s">
        <v>1585</v>
      </c>
      <c r="D313" s="33" t="s">
        <v>993</v>
      </c>
      <c r="E313" s="33"/>
      <c r="F313" s="33"/>
      <c r="G313" s="33"/>
      <c r="H313" s="33"/>
      <c r="I313" s="33"/>
      <c r="J313" s="33"/>
      <c r="K313" s="33"/>
    </row>
    <row r="314" spans="1:11" ht="15.75">
      <c r="A314" s="33" t="s">
        <v>1586</v>
      </c>
      <c r="B314" s="33" t="s">
        <v>991</v>
      </c>
      <c r="C314" s="33" t="s">
        <v>1587</v>
      </c>
      <c r="D314" s="33" t="s">
        <v>993</v>
      </c>
      <c r="E314" s="33"/>
      <c r="F314" s="33"/>
      <c r="G314" s="33"/>
      <c r="H314" s="33"/>
      <c r="I314" s="33"/>
      <c r="J314" s="33"/>
      <c r="K314" s="33"/>
    </row>
    <row r="315" spans="1:11" ht="15.75">
      <c r="A315" s="33" t="s">
        <v>1588</v>
      </c>
      <c r="B315" s="33" t="s">
        <v>991</v>
      </c>
      <c r="C315" s="33" t="s">
        <v>1589</v>
      </c>
      <c r="D315" s="33" t="s">
        <v>993</v>
      </c>
      <c r="E315" s="33"/>
      <c r="F315" s="33"/>
      <c r="G315" s="33"/>
      <c r="H315" s="33"/>
      <c r="I315" s="33"/>
      <c r="J315" s="33"/>
      <c r="K315" s="33"/>
    </row>
    <row r="316" spans="1:11" ht="15.75">
      <c r="A316" s="33" t="s">
        <v>1590</v>
      </c>
      <c r="B316" s="33" t="s">
        <v>991</v>
      </c>
      <c r="C316" s="33" t="s">
        <v>1591</v>
      </c>
      <c r="D316" s="33" t="s">
        <v>993</v>
      </c>
      <c r="E316" s="33"/>
      <c r="F316" s="33"/>
      <c r="G316" s="33"/>
      <c r="H316" s="33"/>
      <c r="I316" s="33"/>
      <c r="J316" s="33"/>
      <c r="K316" s="33"/>
    </row>
    <row r="317" spans="1:11" ht="15.75">
      <c r="A317" s="33" t="s">
        <v>1592</v>
      </c>
      <c r="B317" s="33" t="s">
        <v>991</v>
      </c>
      <c r="C317" s="33" t="s">
        <v>1593</v>
      </c>
      <c r="D317" s="33" t="s">
        <v>993</v>
      </c>
      <c r="E317" s="33"/>
      <c r="F317" s="33"/>
      <c r="G317" s="33"/>
      <c r="H317" s="33"/>
      <c r="I317" s="33"/>
      <c r="J317" s="33"/>
      <c r="K317" s="33"/>
    </row>
    <row r="318" spans="1:11" ht="15.75">
      <c r="A318" s="33" t="s">
        <v>1594</v>
      </c>
      <c r="B318" s="33" t="s">
        <v>991</v>
      </c>
      <c r="C318" s="33" t="s">
        <v>1595</v>
      </c>
      <c r="D318" s="33" t="s">
        <v>993</v>
      </c>
      <c r="E318" s="33"/>
      <c r="F318" s="33"/>
      <c r="G318" s="33"/>
      <c r="H318" s="33"/>
      <c r="I318" s="33"/>
      <c r="J318" s="33"/>
      <c r="K318" s="33"/>
    </row>
    <row r="319" spans="1:11" ht="15.75">
      <c r="A319" s="33" t="s">
        <v>1596</v>
      </c>
      <c r="B319" s="33" t="s">
        <v>991</v>
      </c>
      <c r="C319" s="33" t="s">
        <v>1597</v>
      </c>
      <c r="D319" s="33" t="s">
        <v>993</v>
      </c>
      <c r="E319" s="33"/>
      <c r="F319" s="33"/>
      <c r="G319" s="33"/>
      <c r="H319" s="33"/>
      <c r="I319" s="33"/>
      <c r="J319" s="33"/>
      <c r="K319" s="33"/>
    </row>
    <row r="320" spans="1:11" ht="15.75">
      <c r="A320" s="33" t="s">
        <v>1598</v>
      </c>
      <c r="B320" s="33" t="s">
        <v>991</v>
      </c>
      <c r="C320" s="33" t="s">
        <v>1599</v>
      </c>
      <c r="D320" s="33" t="s">
        <v>993</v>
      </c>
      <c r="E320" s="33"/>
      <c r="F320" s="33"/>
      <c r="G320" s="33"/>
      <c r="H320" s="33"/>
      <c r="I320" s="33"/>
      <c r="J320" s="33"/>
      <c r="K320" s="33"/>
    </row>
    <row r="321" spans="1:11" ht="15.75">
      <c r="A321" s="33" t="s">
        <v>1600</v>
      </c>
      <c r="B321" s="33" t="s">
        <v>991</v>
      </c>
      <c r="C321" s="33" t="s">
        <v>1601</v>
      </c>
      <c r="D321" s="33" t="s">
        <v>993</v>
      </c>
      <c r="E321" s="33"/>
      <c r="F321" s="33"/>
      <c r="G321" s="33"/>
      <c r="H321" s="33"/>
      <c r="I321" s="33"/>
      <c r="J321" s="33"/>
      <c r="K321" s="33"/>
    </row>
    <row r="322" spans="1:11" ht="15.75">
      <c r="A322" s="33" t="s">
        <v>1602</v>
      </c>
      <c r="B322" s="33" t="s">
        <v>991</v>
      </c>
      <c r="C322" s="33" t="s">
        <v>1603</v>
      </c>
      <c r="D322" s="33" t="s">
        <v>993</v>
      </c>
      <c r="E322" s="33"/>
      <c r="F322" s="33"/>
      <c r="G322" s="33"/>
      <c r="H322" s="33"/>
      <c r="I322" s="33"/>
      <c r="J322" s="33"/>
      <c r="K322" s="33"/>
    </row>
    <row r="323" spans="1:11" ht="15.75">
      <c r="A323" s="33" t="s">
        <v>958</v>
      </c>
      <c r="B323" s="33" t="s">
        <v>991</v>
      </c>
      <c r="C323" s="33" t="s">
        <v>1604</v>
      </c>
      <c r="D323" s="33" t="s">
        <v>1005</v>
      </c>
      <c r="E323" s="33"/>
      <c r="F323" s="33"/>
      <c r="G323" s="33"/>
      <c r="H323" s="33"/>
      <c r="I323" s="33"/>
      <c r="J323" s="33"/>
      <c r="K323" s="33"/>
    </row>
    <row r="324" spans="1:11" ht="15.75">
      <c r="A324" s="33" t="s">
        <v>1605</v>
      </c>
      <c r="B324" s="33" t="s">
        <v>991</v>
      </c>
      <c r="C324" s="33" t="s">
        <v>1606</v>
      </c>
      <c r="D324" s="33" t="s">
        <v>993</v>
      </c>
      <c r="E324" s="33"/>
      <c r="F324" s="33"/>
      <c r="G324" s="33"/>
      <c r="H324" s="33"/>
      <c r="I324" s="33"/>
      <c r="J324" s="33"/>
      <c r="K324" s="33"/>
    </row>
    <row r="325" spans="1:11" ht="15.75">
      <c r="A325" s="33" t="s">
        <v>1607</v>
      </c>
      <c r="B325" s="33" t="s">
        <v>991</v>
      </c>
      <c r="C325" s="33" t="s">
        <v>1608</v>
      </c>
      <c r="D325" s="33" t="s">
        <v>993</v>
      </c>
      <c r="E325" s="33"/>
      <c r="F325" s="33"/>
      <c r="G325" s="33"/>
      <c r="H325" s="33"/>
      <c r="I325" s="33"/>
      <c r="J325" s="33"/>
      <c r="K325" s="33"/>
    </row>
    <row r="326" spans="1:11" ht="15.75">
      <c r="A326" s="33" t="s">
        <v>1609</v>
      </c>
      <c r="B326" s="33" t="s">
        <v>991</v>
      </c>
      <c r="C326" s="33" t="s">
        <v>1610</v>
      </c>
      <c r="D326" s="33" t="s">
        <v>993</v>
      </c>
      <c r="E326" s="33"/>
      <c r="F326" s="33"/>
      <c r="G326" s="33"/>
      <c r="H326" s="33"/>
      <c r="I326" s="33"/>
      <c r="J326" s="33"/>
      <c r="K326" s="33"/>
    </row>
    <row r="327" spans="1:11" ht="15.75">
      <c r="A327" s="33" t="s">
        <v>1611</v>
      </c>
      <c r="B327" s="33" t="s">
        <v>991</v>
      </c>
      <c r="C327" s="33" t="s">
        <v>1612</v>
      </c>
      <c r="D327" s="33" t="s">
        <v>993</v>
      </c>
      <c r="E327" s="33"/>
      <c r="F327" s="33"/>
      <c r="G327" s="33"/>
      <c r="H327" s="33"/>
      <c r="I327" s="33"/>
      <c r="J327" s="33"/>
      <c r="K327" s="33"/>
    </row>
    <row r="328" spans="1:11" ht="15.75">
      <c r="A328" s="33" t="s">
        <v>1613</v>
      </c>
      <c r="B328" s="33" t="s">
        <v>991</v>
      </c>
      <c r="C328" s="33" t="s">
        <v>1614</v>
      </c>
      <c r="D328" s="33" t="s">
        <v>993</v>
      </c>
      <c r="E328" s="33"/>
      <c r="F328" s="33"/>
      <c r="G328" s="33"/>
      <c r="H328" s="33"/>
      <c r="I328" s="33"/>
      <c r="J328" s="33"/>
      <c r="K328" s="33"/>
    </row>
    <row r="329" spans="1:11" ht="15.75">
      <c r="A329" s="33" t="s">
        <v>1615</v>
      </c>
      <c r="B329" s="33" t="s">
        <v>991</v>
      </c>
      <c r="C329" s="33" t="s">
        <v>1616</v>
      </c>
      <c r="D329" s="33" t="s">
        <v>993</v>
      </c>
      <c r="E329" s="33"/>
      <c r="F329" s="33"/>
      <c r="G329" s="33"/>
      <c r="H329" s="33"/>
      <c r="I329" s="33"/>
      <c r="J329" s="33"/>
      <c r="K329" s="33"/>
    </row>
    <row r="330" spans="1:11" ht="15.75">
      <c r="A330" s="33" t="s">
        <v>1617</v>
      </c>
      <c r="B330" s="33" t="s">
        <v>991</v>
      </c>
      <c r="C330" s="33" t="s">
        <v>1618</v>
      </c>
      <c r="D330" s="33" t="s">
        <v>993</v>
      </c>
      <c r="E330" s="33"/>
      <c r="F330" s="33"/>
      <c r="G330" s="33"/>
      <c r="H330" s="33"/>
      <c r="I330" s="33"/>
      <c r="J330" s="33"/>
      <c r="K330" s="33"/>
    </row>
    <row r="331" spans="1:11" ht="15.75">
      <c r="A331" s="33" t="s">
        <v>1619</v>
      </c>
      <c r="B331" s="33" t="s">
        <v>991</v>
      </c>
      <c r="C331" s="33" t="s">
        <v>1620</v>
      </c>
      <c r="D331" s="33" t="s">
        <v>993</v>
      </c>
      <c r="E331" s="33"/>
      <c r="F331" s="33"/>
      <c r="G331" s="33"/>
      <c r="H331" s="33"/>
      <c r="I331" s="33"/>
      <c r="J331" s="33"/>
      <c r="K331" s="33"/>
    </row>
    <row r="332" spans="1:11" ht="15.75">
      <c r="A332" s="33" t="s">
        <v>1621</v>
      </c>
      <c r="B332" s="33" t="s">
        <v>991</v>
      </c>
      <c r="C332" s="33" t="s">
        <v>1622</v>
      </c>
      <c r="D332" s="33" t="s">
        <v>993</v>
      </c>
      <c r="E332" s="33"/>
      <c r="F332" s="33"/>
      <c r="G332" s="33"/>
      <c r="H332" s="33"/>
      <c r="I332" s="33"/>
      <c r="J332" s="33"/>
      <c r="K332" s="33"/>
    </row>
    <row r="333" spans="1:11" ht="15.75">
      <c r="A333" s="33" t="s">
        <v>1623</v>
      </c>
      <c r="B333" s="33" t="s">
        <v>991</v>
      </c>
      <c r="C333" s="33" t="s">
        <v>1624</v>
      </c>
      <c r="D333" s="33" t="s">
        <v>993</v>
      </c>
      <c r="E333" s="33"/>
      <c r="F333" s="33"/>
      <c r="G333" s="33"/>
      <c r="H333" s="33"/>
      <c r="I333" s="33"/>
      <c r="J333" s="33"/>
      <c r="K333" s="33"/>
    </row>
    <row r="334" spans="1:11" ht="15.75">
      <c r="A334" s="33" t="s">
        <v>1625</v>
      </c>
      <c r="B334" s="33" t="s">
        <v>991</v>
      </c>
      <c r="C334" s="33" t="s">
        <v>1626</v>
      </c>
      <c r="D334" s="33" t="s">
        <v>993</v>
      </c>
      <c r="E334" s="33"/>
      <c r="F334" s="33"/>
      <c r="G334" s="33"/>
      <c r="H334" s="33"/>
      <c r="I334" s="33"/>
      <c r="J334" s="33"/>
      <c r="K334" s="33"/>
    </row>
    <row r="335" spans="1:11" ht="15.75">
      <c r="A335" s="33" t="s">
        <v>1627</v>
      </c>
      <c r="B335" s="33" t="s">
        <v>991</v>
      </c>
      <c r="C335" s="33" t="s">
        <v>1628</v>
      </c>
      <c r="D335" s="33" t="s">
        <v>993</v>
      </c>
      <c r="E335" s="33"/>
      <c r="F335" s="33"/>
      <c r="G335" s="33"/>
      <c r="H335" s="33"/>
      <c r="I335" s="33"/>
      <c r="J335" s="33"/>
      <c r="K335" s="33"/>
    </row>
    <row r="336" spans="1:11" ht="15.75">
      <c r="A336" s="33" t="s">
        <v>1629</v>
      </c>
      <c r="B336" s="33" t="s">
        <v>991</v>
      </c>
      <c r="C336" s="33" t="s">
        <v>1630</v>
      </c>
      <c r="D336" s="33" t="s">
        <v>993</v>
      </c>
      <c r="E336" s="33"/>
      <c r="F336" s="33"/>
      <c r="G336" s="33"/>
      <c r="H336" s="33"/>
      <c r="I336" s="33"/>
      <c r="J336" s="33"/>
      <c r="K336" s="33"/>
    </row>
    <row r="337" spans="1:11" ht="15.75">
      <c r="A337" s="33" t="s">
        <v>1631</v>
      </c>
      <c r="B337" s="33" t="s">
        <v>991</v>
      </c>
      <c r="C337" s="33" t="s">
        <v>1632</v>
      </c>
      <c r="D337" s="33" t="s">
        <v>993</v>
      </c>
      <c r="E337" s="33"/>
      <c r="F337" s="33"/>
      <c r="G337" s="33"/>
      <c r="H337" s="33"/>
      <c r="I337" s="33"/>
      <c r="J337" s="33"/>
      <c r="K337" s="33"/>
    </row>
    <row r="338" spans="1:11" ht="15.75">
      <c r="A338" s="33" t="s">
        <v>1633</v>
      </c>
      <c r="B338" s="33" t="s">
        <v>991</v>
      </c>
      <c r="C338" s="33" t="s">
        <v>1634</v>
      </c>
      <c r="D338" s="33" t="s">
        <v>993</v>
      </c>
      <c r="E338" s="33"/>
      <c r="F338" s="33"/>
      <c r="G338" s="33"/>
      <c r="H338" s="33"/>
      <c r="I338" s="33"/>
      <c r="J338" s="33"/>
      <c r="K338" s="33"/>
    </row>
    <row r="339" spans="1:11" ht="15.75">
      <c r="A339" s="33" t="s">
        <v>950</v>
      </c>
      <c r="B339" s="33" t="s">
        <v>991</v>
      </c>
      <c r="C339" s="33" t="s">
        <v>1635</v>
      </c>
      <c r="D339" s="33" t="s">
        <v>1005</v>
      </c>
      <c r="E339" s="33"/>
      <c r="F339" s="33"/>
      <c r="G339" s="33"/>
      <c r="H339" s="33"/>
      <c r="I339" s="33"/>
      <c r="J339" s="33"/>
      <c r="K339" s="33"/>
    </row>
    <row r="340" spans="1:11" ht="15.75">
      <c r="A340" s="33" t="s">
        <v>1636</v>
      </c>
      <c r="B340" s="33" t="s">
        <v>991</v>
      </c>
      <c r="C340" s="33" t="s">
        <v>1637</v>
      </c>
      <c r="D340" s="33" t="s">
        <v>993</v>
      </c>
      <c r="E340" s="33"/>
      <c r="F340" s="33"/>
      <c r="G340" s="33"/>
      <c r="H340" s="33"/>
      <c r="I340" s="33"/>
      <c r="J340" s="33"/>
      <c r="K340" s="33"/>
    </row>
    <row r="341" spans="1:11" ht="15.75">
      <c r="A341" s="33" t="s">
        <v>1638</v>
      </c>
      <c r="B341" s="33" t="s">
        <v>991</v>
      </c>
      <c r="C341" s="33" t="s">
        <v>1639</v>
      </c>
      <c r="D341" s="33" t="s">
        <v>993</v>
      </c>
      <c r="E341" s="33"/>
      <c r="F341" s="33"/>
      <c r="G341" s="33"/>
      <c r="H341" s="33"/>
      <c r="I341" s="33"/>
      <c r="J341" s="33"/>
      <c r="K341" s="33"/>
    </row>
    <row r="342" spans="1:11" ht="15.75">
      <c r="A342" s="33" t="s">
        <v>1640</v>
      </c>
      <c r="B342" s="33" t="s">
        <v>991</v>
      </c>
      <c r="C342" s="33" t="s">
        <v>1641</v>
      </c>
      <c r="D342" s="33" t="s">
        <v>993</v>
      </c>
      <c r="E342" s="33"/>
      <c r="F342" s="33"/>
      <c r="G342" s="33"/>
      <c r="H342" s="33"/>
      <c r="I342" s="33"/>
      <c r="J342" s="33"/>
      <c r="K342" s="33"/>
    </row>
    <row r="343" spans="1:11" ht="15.75">
      <c r="A343" s="33" t="s">
        <v>1642</v>
      </c>
      <c r="B343" s="33" t="s">
        <v>991</v>
      </c>
      <c r="C343" s="33" t="s">
        <v>1643</v>
      </c>
      <c r="D343" s="33" t="s">
        <v>993</v>
      </c>
      <c r="E343" s="33"/>
      <c r="F343" s="33"/>
      <c r="G343" s="33"/>
      <c r="H343" s="33"/>
      <c r="I343" s="33"/>
      <c r="J343" s="33"/>
      <c r="K343" s="33"/>
    </row>
    <row r="344" spans="1:11" ht="15.75">
      <c r="A344" s="33" t="s">
        <v>1644</v>
      </c>
      <c r="B344" s="33" t="s">
        <v>991</v>
      </c>
      <c r="C344" s="33" t="s">
        <v>1645</v>
      </c>
      <c r="D344" s="33" t="s">
        <v>993</v>
      </c>
      <c r="E344" s="33"/>
      <c r="F344" s="33"/>
      <c r="G344" s="33"/>
      <c r="H344" s="33"/>
      <c r="I344" s="33"/>
      <c r="J344" s="33"/>
      <c r="K344" s="33"/>
    </row>
    <row r="345" spans="1:11" ht="15.75">
      <c r="A345" s="33" t="s">
        <v>1646</v>
      </c>
      <c r="B345" s="33" t="s">
        <v>991</v>
      </c>
      <c r="C345" s="33" t="s">
        <v>1647</v>
      </c>
      <c r="D345" s="33" t="s">
        <v>993</v>
      </c>
      <c r="E345" s="33"/>
      <c r="F345" s="33"/>
      <c r="G345" s="33"/>
      <c r="H345" s="33"/>
      <c r="I345" s="33"/>
      <c r="J345" s="33"/>
      <c r="K345" s="33"/>
    </row>
    <row r="346" spans="1:11" ht="15.75">
      <c r="A346" s="33" t="s">
        <v>961</v>
      </c>
      <c r="B346" s="33" t="s">
        <v>991</v>
      </c>
      <c r="C346" s="33" t="s">
        <v>1648</v>
      </c>
      <c r="D346" s="33" t="s">
        <v>1005</v>
      </c>
      <c r="E346" s="33"/>
      <c r="F346" s="33"/>
      <c r="G346" s="33"/>
      <c r="H346" s="33"/>
      <c r="I346" s="33"/>
      <c r="J346" s="33"/>
      <c r="K346" s="33"/>
    </row>
    <row r="347" spans="1:11" ht="15.75">
      <c r="A347" s="33" t="s">
        <v>1649</v>
      </c>
      <c r="B347" s="33" t="s">
        <v>991</v>
      </c>
      <c r="C347" s="33" t="s">
        <v>1650</v>
      </c>
      <c r="D347" s="33" t="s">
        <v>993</v>
      </c>
      <c r="E347" s="33"/>
      <c r="F347" s="33"/>
      <c r="G347" s="33"/>
      <c r="H347" s="33"/>
      <c r="I347" s="33"/>
      <c r="J347" s="33"/>
      <c r="K347" s="33"/>
    </row>
    <row r="348" spans="1:11" ht="15.75">
      <c r="A348" s="33" t="s">
        <v>1651</v>
      </c>
      <c r="B348" s="33" t="s">
        <v>991</v>
      </c>
      <c r="C348" s="33" t="s">
        <v>1652</v>
      </c>
      <c r="D348" s="33" t="s">
        <v>993</v>
      </c>
      <c r="E348" s="33"/>
      <c r="F348" s="33"/>
      <c r="G348" s="33"/>
      <c r="H348" s="33"/>
      <c r="I348" s="33"/>
      <c r="J348" s="33"/>
      <c r="K348" s="33"/>
    </row>
    <row r="349" spans="1:11" ht="15.75">
      <c r="A349" s="33" t="s">
        <v>1653</v>
      </c>
      <c r="B349" s="33" t="s">
        <v>991</v>
      </c>
      <c r="C349" s="33" t="s">
        <v>1654</v>
      </c>
      <c r="D349" s="33" t="s">
        <v>1005</v>
      </c>
      <c r="E349" s="33"/>
      <c r="F349" s="33"/>
      <c r="G349" s="33"/>
      <c r="H349" s="33"/>
      <c r="I349" s="33"/>
      <c r="J349" s="33"/>
      <c r="K349" s="33"/>
    </row>
    <row r="350" spans="1:11" ht="15.75">
      <c r="A350" s="33" t="s">
        <v>1655</v>
      </c>
      <c r="B350" s="33" t="s">
        <v>991</v>
      </c>
      <c r="C350" s="33" t="s">
        <v>1656</v>
      </c>
      <c r="D350" s="33" t="s">
        <v>993</v>
      </c>
      <c r="E350" s="33"/>
      <c r="F350" s="33"/>
      <c r="G350" s="33"/>
      <c r="H350" s="33"/>
      <c r="I350" s="33"/>
      <c r="J350" s="33"/>
      <c r="K350" s="33"/>
    </row>
    <row r="351" spans="1:11" ht="15.75">
      <c r="A351" s="33" t="s">
        <v>1657</v>
      </c>
      <c r="B351" s="33" t="s">
        <v>991</v>
      </c>
      <c r="C351" s="33" t="s">
        <v>1658</v>
      </c>
      <c r="D351" s="33" t="s">
        <v>993</v>
      </c>
      <c r="E351" s="33"/>
      <c r="F351" s="33"/>
      <c r="G351" s="33"/>
      <c r="H351" s="33"/>
      <c r="I351" s="33"/>
      <c r="J351" s="33"/>
      <c r="K351" s="33"/>
    </row>
    <row r="352" spans="1:11" ht="15.75">
      <c r="A352" s="33" t="s">
        <v>1659</v>
      </c>
      <c r="B352" s="33" t="s">
        <v>991</v>
      </c>
      <c r="C352" s="33" t="s">
        <v>1660</v>
      </c>
      <c r="D352" s="33" t="s">
        <v>993</v>
      </c>
      <c r="E352" s="33"/>
      <c r="F352" s="33"/>
      <c r="G352" s="33"/>
      <c r="H352" s="33"/>
      <c r="I352" s="33"/>
      <c r="J352" s="33"/>
      <c r="K352" s="33"/>
    </row>
    <row r="353" spans="1:11" ht="15.75">
      <c r="A353" s="33" t="s">
        <v>1661</v>
      </c>
      <c r="B353" s="33" t="s">
        <v>991</v>
      </c>
      <c r="C353" s="33" t="s">
        <v>1662</v>
      </c>
      <c r="D353" s="33" t="s">
        <v>993</v>
      </c>
      <c r="E353" s="33"/>
      <c r="F353" s="33"/>
      <c r="G353" s="33"/>
      <c r="H353" s="33"/>
      <c r="I353" s="33"/>
      <c r="J353" s="33"/>
      <c r="K353" s="33"/>
    </row>
    <row r="354" spans="1:11" ht="15.75">
      <c r="A354" s="33" t="s">
        <v>1663</v>
      </c>
      <c r="B354" s="33" t="s">
        <v>991</v>
      </c>
      <c r="C354" s="33" t="s">
        <v>1664</v>
      </c>
      <c r="D354" s="33" t="s">
        <v>993</v>
      </c>
      <c r="E354" s="33"/>
      <c r="F354" s="33"/>
      <c r="G354" s="33"/>
      <c r="H354" s="33"/>
      <c r="I354" s="33"/>
      <c r="J354" s="33"/>
      <c r="K354" s="33"/>
    </row>
    <row r="355" spans="1:11" ht="15.75">
      <c r="A355" s="33" t="s">
        <v>1665</v>
      </c>
      <c r="B355" s="33" t="s">
        <v>991</v>
      </c>
      <c r="C355" s="33" t="s">
        <v>1666</v>
      </c>
      <c r="D355" s="33" t="s">
        <v>993</v>
      </c>
      <c r="E355" s="33"/>
      <c r="F355" s="33"/>
      <c r="G355" s="33"/>
      <c r="H355" s="33"/>
      <c r="I355" s="33"/>
      <c r="J355" s="33"/>
      <c r="K355" s="33"/>
    </row>
    <row r="356" spans="1:11" ht="15.75">
      <c r="A356" s="33" t="s">
        <v>1667</v>
      </c>
      <c r="B356" s="33" t="s">
        <v>991</v>
      </c>
      <c r="C356" s="33" t="s">
        <v>1668</v>
      </c>
      <c r="D356" s="33" t="s">
        <v>1005</v>
      </c>
      <c r="E356" s="33"/>
      <c r="F356" s="33"/>
      <c r="G356" s="33"/>
      <c r="H356" s="33"/>
      <c r="I356" s="33"/>
      <c r="J356" s="33"/>
      <c r="K356" s="33"/>
    </row>
    <row r="357" spans="1:11" ht="15.75">
      <c r="A357" s="33" t="s">
        <v>941</v>
      </c>
      <c r="B357" s="33" t="s">
        <v>991</v>
      </c>
      <c r="C357" s="33" t="s">
        <v>1669</v>
      </c>
      <c r="D357" s="33" t="s">
        <v>1005</v>
      </c>
      <c r="E357" s="33"/>
      <c r="F357" s="33"/>
      <c r="G357" s="33"/>
      <c r="H357" s="33"/>
      <c r="I357" s="33"/>
      <c r="J357" s="33"/>
      <c r="K357" s="33"/>
    </row>
    <row r="358" spans="1:11" ht="15.75">
      <c r="A358" s="33" t="s">
        <v>1670</v>
      </c>
      <c r="B358" s="33" t="s">
        <v>991</v>
      </c>
      <c r="C358" s="33" t="s">
        <v>1671</v>
      </c>
      <c r="D358" s="33" t="s">
        <v>993</v>
      </c>
      <c r="E358" s="33"/>
      <c r="F358" s="33"/>
      <c r="G358" s="33"/>
      <c r="H358" s="33"/>
      <c r="I358" s="33"/>
      <c r="J358" s="33"/>
      <c r="K358" s="33"/>
    </row>
    <row r="359" spans="1:11" ht="15.75">
      <c r="A359" s="33" t="s">
        <v>1672</v>
      </c>
      <c r="B359" s="33" t="s">
        <v>991</v>
      </c>
      <c r="C359" s="33" t="s">
        <v>1673</v>
      </c>
      <c r="D359" s="33" t="s">
        <v>993</v>
      </c>
      <c r="E359" s="33"/>
      <c r="F359" s="33"/>
      <c r="G359" s="33"/>
      <c r="H359" s="33"/>
      <c r="I359" s="33"/>
      <c r="J359" s="33"/>
      <c r="K359" s="33"/>
    </row>
    <row r="360" spans="1:11" ht="15.75">
      <c r="A360" s="33" t="s">
        <v>1674</v>
      </c>
      <c r="B360" s="33" t="s">
        <v>991</v>
      </c>
      <c r="C360" s="33" t="s">
        <v>1675</v>
      </c>
      <c r="D360" s="33" t="s">
        <v>993</v>
      </c>
      <c r="E360" s="33"/>
      <c r="F360" s="33"/>
      <c r="G360" s="33"/>
      <c r="H360" s="33"/>
      <c r="I360" s="33"/>
      <c r="J360" s="33"/>
      <c r="K360" s="33"/>
    </row>
    <row r="361" spans="1:11" ht="15.75">
      <c r="A361" s="33" t="s">
        <v>1676</v>
      </c>
      <c r="B361" s="33" t="s">
        <v>991</v>
      </c>
      <c r="C361" s="33" t="s">
        <v>1677</v>
      </c>
      <c r="D361" s="33" t="s">
        <v>993</v>
      </c>
      <c r="E361" s="33"/>
      <c r="F361" s="33"/>
      <c r="G361" s="33"/>
      <c r="H361" s="33"/>
      <c r="I361" s="33"/>
      <c r="J361" s="33"/>
      <c r="K361" s="33"/>
    </row>
    <row r="362" spans="1:11" ht="15.75">
      <c r="A362" s="33" t="s">
        <v>1678</v>
      </c>
      <c r="B362" s="33" t="s">
        <v>991</v>
      </c>
      <c r="C362" s="33" t="s">
        <v>1679</v>
      </c>
      <c r="D362" s="33" t="s">
        <v>993</v>
      </c>
      <c r="E362" s="33"/>
      <c r="F362" s="33"/>
      <c r="G362" s="33"/>
      <c r="H362" s="33"/>
      <c r="I362" s="33"/>
      <c r="J362" s="33"/>
      <c r="K362" s="33"/>
    </row>
    <row r="363" spans="1:11" ht="15.75">
      <c r="A363" s="33" t="s">
        <v>1680</v>
      </c>
      <c r="B363" s="33" t="s">
        <v>991</v>
      </c>
      <c r="C363" s="33" t="s">
        <v>1681</v>
      </c>
      <c r="D363" s="33" t="s">
        <v>993</v>
      </c>
      <c r="E363" s="33"/>
      <c r="F363" s="33"/>
      <c r="G363" s="33"/>
      <c r="H363" s="33"/>
      <c r="I363" s="33"/>
      <c r="J363" s="33"/>
      <c r="K363" s="33"/>
    </row>
    <row r="364" spans="1:11" ht="15.75">
      <c r="A364" s="33" t="s">
        <v>1682</v>
      </c>
      <c r="B364" s="33" t="s">
        <v>991</v>
      </c>
      <c r="C364" s="33" t="s">
        <v>1683</v>
      </c>
      <c r="D364" s="33" t="s">
        <v>1684</v>
      </c>
      <c r="E364" s="33"/>
      <c r="F364" s="33"/>
      <c r="G364" s="33"/>
      <c r="H364" s="33"/>
      <c r="I364" s="33"/>
      <c r="J364" s="33"/>
      <c r="K364" s="33"/>
    </row>
    <row r="365" spans="1:11" ht="15.75">
      <c r="A365" s="33" t="s">
        <v>1685</v>
      </c>
      <c r="B365" s="33" t="s">
        <v>991</v>
      </c>
      <c r="C365" s="33" t="s">
        <v>1686</v>
      </c>
      <c r="D365" s="33" t="s">
        <v>993</v>
      </c>
      <c r="E365" s="33"/>
      <c r="F365" s="33"/>
      <c r="G365" s="33"/>
      <c r="H365" s="33"/>
      <c r="I365" s="33"/>
      <c r="J365" s="33"/>
      <c r="K365" s="33"/>
    </row>
    <row r="366" spans="1:11" ht="15.75">
      <c r="A366" s="33" t="s">
        <v>1687</v>
      </c>
      <c r="B366" s="33" t="s">
        <v>991</v>
      </c>
      <c r="C366" s="33" t="s">
        <v>1688</v>
      </c>
      <c r="D366" s="33" t="s">
        <v>993</v>
      </c>
      <c r="E366" s="33"/>
      <c r="F366" s="33"/>
      <c r="G366" s="33"/>
      <c r="H366" s="33"/>
      <c r="I366" s="33"/>
      <c r="J366" s="33"/>
      <c r="K366" s="33"/>
    </row>
    <row r="367" spans="1:11" ht="15.75">
      <c r="A367" s="33" t="s">
        <v>1689</v>
      </c>
      <c r="B367" s="33" t="s">
        <v>991</v>
      </c>
      <c r="C367" s="33" t="s">
        <v>1690</v>
      </c>
      <c r="D367" s="33" t="s">
        <v>993</v>
      </c>
      <c r="E367" s="33"/>
      <c r="F367" s="33"/>
      <c r="G367" s="33"/>
      <c r="H367" s="33"/>
      <c r="I367" s="33"/>
      <c r="J367" s="33"/>
      <c r="K367" s="33"/>
    </row>
    <row r="368" spans="1:11" ht="15.75">
      <c r="A368" s="33" t="s">
        <v>1691</v>
      </c>
      <c r="B368" s="33" t="s">
        <v>991</v>
      </c>
      <c r="C368" s="33" t="s">
        <v>1692</v>
      </c>
      <c r="D368" s="33" t="s">
        <v>993</v>
      </c>
      <c r="E368" s="33"/>
      <c r="F368" s="33"/>
      <c r="G368" s="33"/>
      <c r="H368" s="33"/>
      <c r="I368" s="33"/>
      <c r="J368" s="33"/>
      <c r="K368" s="33"/>
    </row>
    <row r="369" spans="1:11" ht="15.75">
      <c r="A369" s="33" t="s">
        <v>1693</v>
      </c>
      <c r="B369" s="33" t="s">
        <v>991</v>
      </c>
      <c r="C369" s="33" t="s">
        <v>1694</v>
      </c>
      <c r="D369" s="33" t="s">
        <v>993</v>
      </c>
      <c r="E369" s="33"/>
      <c r="F369" s="33"/>
      <c r="G369" s="33"/>
      <c r="H369" s="33"/>
      <c r="I369" s="33"/>
      <c r="J369" s="33"/>
      <c r="K369" s="33"/>
    </row>
    <row r="370" spans="1:11" ht="15.75">
      <c r="A370" s="33" t="s">
        <v>1695</v>
      </c>
      <c r="B370" s="33" t="s">
        <v>991</v>
      </c>
      <c r="C370" s="33" t="s">
        <v>1696</v>
      </c>
      <c r="D370" s="33" t="s">
        <v>993</v>
      </c>
      <c r="E370" s="33"/>
      <c r="F370" s="33"/>
      <c r="G370" s="33"/>
      <c r="H370" s="33"/>
      <c r="I370" s="33"/>
      <c r="J370" s="33"/>
      <c r="K370" s="33"/>
    </row>
    <row r="371" spans="1:11" ht="15.75">
      <c r="A371" s="33" t="s">
        <v>1697</v>
      </c>
      <c r="B371" s="33" t="s">
        <v>991</v>
      </c>
      <c r="C371" s="33" t="s">
        <v>1698</v>
      </c>
      <c r="D371" s="33" t="s">
        <v>993</v>
      </c>
      <c r="E371" s="33"/>
      <c r="F371" s="33"/>
      <c r="G371" s="33"/>
      <c r="H371" s="33"/>
      <c r="I371" s="33"/>
      <c r="J371" s="33"/>
      <c r="K371" s="33"/>
    </row>
    <row r="372" spans="1:11" ht="15.75">
      <c r="A372" s="33" t="s">
        <v>1699</v>
      </c>
      <c r="B372" s="33" t="s">
        <v>991</v>
      </c>
      <c r="C372" s="33" t="s">
        <v>1700</v>
      </c>
      <c r="D372" s="33" t="s">
        <v>993</v>
      </c>
      <c r="E372" s="33"/>
      <c r="F372" s="33"/>
      <c r="G372" s="33"/>
      <c r="H372" s="33"/>
      <c r="I372" s="33"/>
      <c r="J372" s="33"/>
      <c r="K372" s="33"/>
    </row>
    <row r="373" spans="1:11" ht="15.75">
      <c r="A373" s="33" t="s">
        <v>1701</v>
      </c>
      <c r="B373" s="33" t="s">
        <v>991</v>
      </c>
      <c r="C373" s="33" t="s">
        <v>1702</v>
      </c>
      <c r="D373" s="33" t="s">
        <v>993</v>
      </c>
      <c r="E373" s="33"/>
      <c r="F373" s="33"/>
      <c r="G373" s="33"/>
      <c r="H373" s="33"/>
      <c r="I373" s="33"/>
      <c r="J373" s="33"/>
      <c r="K373" s="33"/>
    </row>
    <row r="374" spans="1:11" ht="15.75">
      <c r="A374" s="33" t="s">
        <v>1703</v>
      </c>
      <c r="B374" s="33" t="s">
        <v>991</v>
      </c>
      <c r="C374" s="33" t="s">
        <v>1704</v>
      </c>
      <c r="D374" s="33" t="s">
        <v>993</v>
      </c>
      <c r="E374" s="33"/>
      <c r="F374" s="33"/>
      <c r="G374" s="33"/>
      <c r="H374" s="33"/>
      <c r="I374" s="33"/>
      <c r="J374" s="33"/>
      <c r="K374" s="33"/>
    </row>
    <row r="375" spans="1:11" ht="15.75">
      <c r="A375" s="33" t="s">
        <v>1705</v>
      </c>
      <c r="B375" s="33" t="s">
        <v>991</v>
      </c>
      <c r="C375" s="33" t="s">
        <v>1706</v>
      </c>
      <c r="D375" s="33" t="s">
        <v>993</v>
      </c>
      <c r="E375" s="33"/>
      <c r="F375" s="33"/>
      <c r="G375" s="33"/>
      <c r="H375" s="33"/>
      <c r="I375" s="33"/>
      <c r="J375" s="33"/>
      <c r="K375" s="33"/>
    </row>
    <row r="376" spans="1:11" ht="15.75">
      <c r="A376" s="33" t="s">
        <v>1707</v>
      </c>
      <c r="B376" s="33" t="s">
        <v>991</v>
      </c>
      <c r="C376" s="33" t="s">
        <v>1708</v>
      </c>
      <c r="D376" s="33" t="s">
        <v>993</v>
      </c>
      <c r="E376" s="33"/>
      <c r="F376" s="33"/>
      <c r="G376" s="33"/>
      <c r="H376" s="33"/>
      <c r="I376" s="33"/>
      <c r="J376" s="33"/>
      <c r="K376" s="33"/>
    </row>
    <row r="377" spans="1:11" ht="15.75">
      <c r="A377" s="33" t="s">
        <v>1709</v>
      </c>
      <c r="B377" s="33" t="s">
        <v>991</v>
      </c>
      <c r="C377" s="33" t="s">
        <v>1710</v>
      </c>
      <c r="D377" s="33" t="s">
        <v>993</v>
      </c>
      <c r="E377" s="33"/>
      <c r="F377" s="33"/>
      <c r="G377" s="33"/>
      <c r="H377" s="33"/>
      <c r="I377" s="33"/>
      <c r="J377" s="33"/>
      <c r="K377" s="33"/>
    </row>
    <row r="378" spans="1:11" ht="15.75">
      <c r="A378" s="33" t="s">
        <v>1711</v>
      </c>
      <c r="B378" s="33" t="s">
        <v>991</v>
      </c>
      <c r="C378" s="33" t="s">
        <v>1712</v>
      </c>
      <c r="D378" s="33" t="s">
        <v>993</v>
      </c>
      <c r="E378" s="33"/>
      <c r="F378" s="33"/>
      <c r="G378" s="33"/>
      <c r="H378" s="33"/>
      <c r="I378" s="33"/>
      <c r="J378" s="33"/>
      <c r="K378" s="33"/>
    </row>
    <row r="379" spans="1:11" ht="15.75">
      <c r="A379" s="33" t="s">
        <v>963</v>
      </c>
      <c r="B379" s="33" t="s">
        <v>991</v>
      </c>
      <c r="C379" s="33" t="s">
        <v>1713</v>
      </c>
      <c r="D379" s="33" t="s">
        <v>1005</v>
      </c>
      <c r="E379" s="33"/>
      <c r="F379" s="33"/>
      <c r="G379" s="33"/>
      <c r="H379" s="33"/>
      <c r="I379" s="33"/>
      <c r="J379" s="33"/>
      <c r="K379" s="33"/>
    </row>
    <row r="380" spans="1:11" ht="15.75">
      <c r="A380" s="33" t="s">
        <v>1714</v>
      </c>
      <c r="B380" s="33" t="s">
        <v>991</v>
      </c>
      <c r="C380" s="33" t="s">
        <v>1715</v>
      </c>
      <c r="D380" s="33" t="s">
        <v>993</v>
      </c>
      <c r="E380" s="33"/>
      <c r="F380" s="33"/>
      <c r="G380" s="33"/>
      <c r="H380" s="33"/>
      <c r="I380" s="33"/>
      <c r="J380" s="33"/>
      <c r="K380" s="33"/>
    </row>
    <row r="381" spans="1:11" ht="15.75">
      <c r="A381" s="33" t="s">
        <v>1716</v>
      </c>
      <c r="B381" s="33" t="s">
        <v>991</v>
      </c>
      <c r="C381" s="33" t="s">
        <v>1717</v>
      </c>
      <c r="D381" s="33" t="s">
        <v>993</v>
      </c>
      <c r="E381" s="33"/>
      <c r="F381" s="33"/>
      <c r="G381" s="33"/>
      <c r="H381" s="33"/>
      <c r="I381" s="33"/>
      <c r="J381" s="33"/>
      <c r="K381" s="33"/>
    </row>
    <row r="382" spans="1:11" ht="15.75">
      <c r="A382" s="33" t="s">
        <v>1718</v>
      </c>
      <c r="B382" s="33" t="s">
        <v>991</v>
      </c>
      <c r="C382" s="33" t="s">
        <v>1719</v>
      </c>
      <c r="D382" s="33" t="s">
        <v>993</v>
      </c>
      <c r="E382" s="33"/>
      <c r="F382" s="33"/>
      <c r="G382" s="33"/>
      <c r="H382" s="33"/>
      <c r="I382" s="33"/>
      <c r="J382" s="33"/>
      <c r="K382" s="33"/>
    </row>
    <row r="383" spans="1:11" ht="15.75">
      <c r="A383" s="33" t="s">
        <v>1720</v>
      </c>
      <c r="B383" s="33" t="s">
        <v>991</v>
      </c>
      <c r="C383" s="33" t="s">
        <v>1721</v>
      </c>
      <c r="D383" s="33" t="s">
        <v>993</v>
      </c>
      <c r="E383" s="33"/>
      <c r="F383" s="33"/>
      <c r="G383" s="33"/>
      <c r="H383" s="33"/>
      <c r="I383" s="33"/>
      <c r="J383" s="33"/>
      <c r="K383" s="33"/>
    </row>
    <row r="384" spans="1:11" ht="15.75">
      <c r="A384" s="33" t="s">
        <v>1722</v>
      </c>
      <c r="B384" s="33" t="s">
        <v>991</v>
      </c>
      <c r="C384" s="33" t="s">
        <v>1723</v>
      </c>
      <c r="D384" s="33" t="s">
        <v>993</v>
      </c>
      <c r="E384" s="33"/>
      <c r="F384" s="33"/>
      <c r="G384" s="33"/>
      <c r="H384" s="33"/>
      <c r="I384" s="33"/>
      <c r="J384" s="33"/>
      <c r="K384" s="33"/>
    </row>
    <row r="385" spans="1:11" ht="15.75">
      <c r="A385" s="33" t="s">
        <v>1724</v>
      </c>
      <c r="B385" s="33" t="s">
        <v>991</v>
      </c>
      <c r="C385" s="33" t="s">
        <v>1725</v>
      </c>
      <c r="D385" s="33" t="s">
        <v>993</v>
      </c>
      <c r="E385" s="33"/>
      <c r="F385" s="33"/>
      <c r="G385" s="33"/>
      <c r="H385" s="33"/>
      <c r="I385" s="33"/>
      <c r="J385" s="33"/>
      <c r="K385" s="33"/>
    </row>
    <row r="386" spans="1:11" ht="15.75">
      <c r="A386" s="33" t="s">
        <v>939</v>
      </c>
      <c r="B386" s="33" t="s">
        <v>991</v>
      </c>
      <c r="C386" s="33" t="s">
        <v>1726</v>
      </c>
      <c r="D386" s="33" t="s">
        <v>1005</v>
      </c>
      <c r="E386" s="33"/>
      <c r="F386" s="33"/>
      <c r="G386" s="33"/>
      <c r="H386" s="33"/>
      <c r="I386" s="33"/>
      <c r="J386" s="33"/>
      <c r="K386" s="33"/>
    </row>
    <row r="387" spans="1:11" ht="15.75">
      <c r="A387" s="33" t="s">
        <v>1727</v>
      </c>
      <c r="B387" s="33" t="s">
        <v>991</v>
      </c>
      <c r="C387" s="33" t="s">
        <v>1728</v>
      </c>
      <c r="D387" s="33" t="s">
        <v>993</v>
      </c>
      <c r="E387" s="33"/>
      <c r="F387" s="33"/>
      <c r="G387" s="33"/>
      <c r="H387" s="33"/>
      <c r="I387" s="33"/>
      <c r="J387" s="33"/>
      <c r="K387" s="33"/>
    </row>
    <row r="388" spans="1:11" ht="15.75">
      <c r="A388" s="33" t="s">
        <v>1729</v>
      </c>
      <c r="B388" s="33" t="s">
        <v>991</v>
      </c>
      <c r="C388" s="33" t="s">
        <v>1730</v>
      </c>
      <c r="D388" s="33" t="s">
        <v>993</v>
      </c>
      <c r="E388" s="33"/>
      <c r="F388" s="33"/>
      <c r="G388" s="33"/>
      <c r="H388" s="33"/>
      <c r="I388" s="33"/>
      <c r="J388" s="33"/>
      <c r="K388" s="33"/>
    </row>
    <row r="389" spans="1:11" ht="15.75">
      <c r="A389" s="33" t="s">
        <v>1731</v>
      </c>
      <c r="B389" s="33" t="s">
        <v>991</v>
      </c>
      <c r="C389" s="33" t="s">
        <v>1732</v>
      </c>
      <c r="D389" s="33" t="s">
        <v>993</v>
      </c>
      <c r="E389" s="33"/>
      <c r="F389" s="33"/>
      <c r="G389" s="33"/>
      <c r="H389" s="33"/>
      <c r="I389" s="33"/>
      <c r="J389" s="33"/>
      <c r="K389" s="33"/>
    </row>
    <row r="390" spans="1:11" ht="15.75">
      <c r="A390" s="33" t="s">
        <v>1733</v>
      </c>
      <c r="B390" s="33" t="s">
        <v>991</v>
      </c>
      <c r="C390" s="33" t="s">
        <v>1734</v>
      </c>
      <c r="D390" s="33" t="s">
        <v>993</v>
      </c>
      <c r="E390" s="33"/>
      <c r="F390" s="33"/>
      <c r="G390" s="33"/>
      <c r="H390" s="33"/>
      <c r="I390" s="33"/>
      <c r="J390" s="33"/>
      <c r="K390" s="33"/>
    </row>
    <row r="391" spans="1:11" ht="15.75">
      <c r="A391" s="33" t="s">
        <v>1735</v>
      </c>
      <c r="B391" s="33" t="s">
        <v>991</v>
      </c>
      <c r="C391" s="33" t="s">
        <v>1736</v>
      </c>
      <c r="D391" s="33" t="s">
        <v>993</v>
      </c>
      <c r="E391" s="33"/>
      <c r="F391" s="33"/>
      <c r="G391" s="33"/>
      <c r="H391" s="33"/>
      <c r="I391" s="33"/>
      <c r="J391" s="33"/>
      <c r="K391" s="33"/>
    </row>
    <row r="392" spans="1:11" ht="15.75">
      <c r="A392" s="33" t="s">
        <v>1737</v>
      </c>
      <c r="B392" s="33" t="s">
        <v>991</v>
      </c>
      <c r="C392" s="33" t="s">
        <v>1738</v>
      </c>
      <c r="D392" s="33" t="s">
        <v>993</v>
      </c>
      <c r="E392" s="33"/>
      <c r="F392" s="33"/>
      <c r="G392" s="33"/>
      <c r="H392" s="33"/>
      <c r="I392" s="33"/>
      <c r="J392" s="33"/>
      <c r="K392" s="33"/>
    </row>
    <row r="393" spans="1:11" ht="15.75">
      <c r="A393" s="33" t="s">
        <v>937</v>
      </c>
      <c r="B393" s="33" t="s">
        <v>991</v>
      </c>
      <c r="C393" s="33" t="s">
        <v>1739</v>
      </c>
      <c r="D393" s="33" t="s">
        <v>1005</v>
      </c>
      <c r="E393" s="33"/>
      <c r="F393" s="33"/>
      <c r="G393" s="33"/>
      <c r="H393" s="33"/>
      <c r="I393" s="33"/>
      <c r="J393" s="33"/>
      <c r="K393" s="33"/>
    </row>
    <row r="394" spans="1:11" ht="15.75">
      <c r="A394" s="33" t="s">
        <v>1740</v>
      </c>
      <c r="B394" s="33" t="s">
        <v>991</v>
      </c>
      <c r="C394" s="33" t="s">
        <v>1741</v>
      </c>
      <c r="D394" s="33" t="s">
        <v>993</v>
      </c>
      <c r="E394" s="33"/>
      <c r="F394" s="33"/>
      <c r="G394" s="33"/>
      <c r="H394" s="33"/>
      <c r="I394" s="33"/>
      <c r="J394" s="33"/>
      <c r="K394" s="33"/>
    </row>
    <row r="395" spans="1:11" ht="15.75">
      <c r="A395" s="33" t="s">
        <v>1742</v>
      </c>
      <c r="B395" s="33" t="s">
        <v>991</v>
      </c>
      <c r="C395" s="33" t="s">
        <v>1743</v>
      </c>
      <c r="D395" s="33" t="s">
        <v>993</v>
      </c>
      <c r="E395" s="33"/>
      <c r="F395" s="33"/>
      <c r="G395" s="33"/>
      <c r="H395" s="33"/>
      <c r="I395" s="33"/>
      <c r="J395" s="33"/>
      <c r="K395" s="33"/>
    </row>
    <row r="396" spans="1:11" ht="15.75">
      <c r="A396" s="33" t="s">
        <v>1744</v>
      </c>
      <c r="B396" s="33" t="s">
        <v>991</v>
      </c>
      <c r="C396" s="33" t="s">
        <v>1745</v>
      </c>
      <c r="D396" s="33" t="s">
        <v>993</v>
      </c>
      <c r="E396" s="33"/>
      <c r="F396" s="33"/>
      <c r="G396" s="33"/>
      <c r="H396" s="33"/>
      <c r="I396" s="33"/>
      <c r="J396" s="33"/>
      <c r="K396" s="33"/>
    </row>
    <row r="397" spans="1:11" ht="15.75">
      <c r="A397" s="33" t="s">
        <v>1746</v>
      </c>
      <c r="B397" s="33" t="s">
        <v>991</v>
      </c>
      <c r="C397" s="33" t="s">
        <v>1747</v>
      </c>
      <c r="D397" s="33" t="s">
        <v>993</v>
      </c>
      <c r="E397" s="33"/>
      <c r="F397" s="33"/>
      <c r="G397" s="33"/>
      <c r="H397" s="33"/>
      <c r="I397" s="33"/>
      <c r="J397" s="33"/>
      <c r="K397" s="33"/>
    </row>
    <row r="398" spans="1:11" ht="15.75">
      <c r="A398" s="33" t="s">
        <v>1748</v>
      </c>
      <c r="B398" s="33" t="s">
        <v>991</v>
      </c>
      <c r="C398" s="33" t="s">
        <v>1749</v>
      </c>
      <c r="D398" s="33" t="s">
        <v>993</v>
      </c>
      <c r="E398" s="33"/>
      <c r="F398" s="33"/>
      <c r="G398" s="33"/>
      <c r="H398" s="33"/>
      <c r="I398" s="33"/>
      <c r="J398" s="33"/>
      <c r="K398" s="33"/>
    </row>
    <row r="399" spans="1:11" ht="15.75">
      <c r="A399" s="33" t="s">
        <v>1750</v>
      </c>
      <c r="B399" s="33" t="s">
        <v>991</v>
      </c>
      <c r="C399" s="33" t="s">
        <v>1751</v>
      </c>
      <c r="D399" s="33" t="s">
        <v>993</v>
      </c>
      <c r="E399" s="33"/>
      <c r="F399" s="33"/>
      <c r="G399" s="33"/>
      <c r="H399" s="33"/>
      <c r="I399" s="33"/>
      <c r="J399" s="33"/>
      <c r="K399" s="33"/>
    </row>
    <row r="400" spans="1:11" ht="15.75">
      <c r="A400" s="33" t="s">
        <v>1752</v>
      </c>
      <c r="B400" s="33" t="s">
        <v>991</v>
      </c>
      <c r="C400" s="33" t="s">
        <v>1753</v>
      </c>
      <c r="D400" s="33" t="s">
        <v>993</v>
      </c>
      <c r="E400" s="33"/>
      <c r="F400" s="33"/>
      <c r="G400" s="33"/>
      <c r="H400" s="33"/>
      <c r="I400" s="33"/>
      <c r="J400" s="33"/>
      <c r="K400" s="33"/>
    </row>
    <row r="401" spans="1:11" ht="15.75">
      <c r="A401" s="33" t="s">
        <v>1754</v>
      </c>
      <c r="B401" s="33" t="s">
        <v>991</v>
      </c>
      <c r="C401" s="33" t="s">
        <v>1755</v>
      </c>
      <c r="D401" s="33" t="s">
        <v>993</v>
      </c>
      <c r="E401" s="33"/>
      <c r="F401" s="33"/>
      <c r="G401" s="33"/>
      <c r="H401" s="33"/>
      <c r="I401" s="33"/>
      <c r="J401" s="33"/>
      <c r="K401" s="33"/>
    </row>
    <row r="402" spans="1:11" ht="15.75">
      <c r="A402" s="33" t="s">
        <v>1756</v>
      </c>
      <c r="B402" s="33" t="s">
        <v>991</v>
      </c>
      <c r="C402" s="33" t="s">
        <v>1757</v>
      </c>
      <c r="D402" s="33" t="s">
        <v>993</v>
      </c>
      <c r="E402" s="33"/>
      <c r="F402" s="33"/>
      <c r="G402" s="33"/>
      <c r="H402" s="33"/>
      <c r="I402" s="33"/>
      <c r="J402" s="33"/>
      <c r="K402" s="33"/>
    </row>
    <row r="403" spans="1:11" ht="15.75">
      <c r="A403" s="33" t="s">
        <v>1758</v>
      </c>
      <c r="B403" s="33" t="s">
        <v>991</v>
      </c>
      <c r="C403" s="33" t="s">
        <v>1759</v>
      </c>
      <c r="D403" s="33" t="s">
        <v>993</v>
      </c>
      <c r="E403" s="33"/>
      <c r="F403" s="33"/>
      <c r="G403" s="33"/>
      <c r="H403" s="33"/>
      <c r="I403" s="33"/>
      <c r="J403" s="33"/>
      <c r="K403" s="33"/>
    </row>
    <row r="404" spans="1:11" ht="15.75">
      <c r="A404" s="33" t="s">
        <v>967</v>
      </c>
      <c r="B404" s="33" t="s">
        <v>991</v>
      </c>
      <c r="C404" s="33" t="s">
        <v>1760</v>
      </c>
      <c r="D404" s="33" t="s">
        <v>1005</v>
      </c>
      <c r="E404" s="33"/>
      <c r="F404" s="33"/>
      <c r="G404" s="33"/>
      <c r="H404" s="33"/>
      <c r="I404" s="33"/>
      <c r="J404" s="33"/>
      <c r="K404" s="33"/>
    </row>
    <row r="405" spans="1:11" ht="15.75">
      <c r="A405" s="33" t="s">
        <v>1761</v>
      </c>
      <c r="B405" s="33" t="s">
        <v>991</v>
      </c>
      <c r="C405" s="33" t="s">
        <v>1762</v>
      </c>
      <c r="D405" s="33" t="s">
        <v>993</v>
      </c>
      <c r="E405" s="33"/>
      <c r="F405" s="33"/>
      <c r="G405" s="33"/>
      <c r="H405" s="33"/>
      <c r="I405" s="33"/>
      <c r="J405" s="33"/>
      <c r="K405" s="33"/>
    </row>
    <row r="406" spans="1:11" ht="15.75">
      <c r="A406" s="33" t="s">
        <v>1763</v>
      </c>
      <c r="B406" s="33" t="s">
        <v>991</v>
      </c>
      <c r="C406" s="33" t="s">
        <v>1764</v>
      </c>
      <c r="D406" s="33" t="s">
        <v>993</v>
      </c>
      <c r="E406" s="33"/>
      <c r="F406" s="33"/>
      <c r="G406" s="33"/>
      <c r="H406" s="33"/>
      <c r="I406" s="33"/>
      <c r="J406" s="33"/>
      <c r="K406" s="33"/>
    </row>
    <row r="407" spans="1:11" ht="15.75">
      <c r="A407" s="33" t="s">
        <v>1765</v>
      </c>
      <c r="B407" s="33" t="s">
        <v>991</v>
      </c>
      <c r="C407" s="33" t="s">
        <v>1766</v>
      </c>
      <c r="D407" s="33" t="s">
        <v>993</v>
      </c>
      <c r="E407" s="33"/>
      <c r="F407" s="33"/>
      <c r="G407" s="33"/>
      <c r="H407" s="33"/>
      <c r="I407" s="33"/>
      <c r="J407" s="33"/>
      <c r="K407" s="33"/>
    </row>
    <row r="408" spans="1:11" ht="15.75">
      <c r="A408" s="33" t="s">
        <v>1767</v>
      </c>
      <c r="B408" s="33" t="s">
        <v>991</v>
      </c>
      <c r="C408" s="33" t="s">
        <v>1768</v>
      </c>
      <c r="D408" s="33" t="s">
        <v>993</v>
      </c>
      <c r="E408" s="33"/>
      <c r="F408" s="33"/>
      <c r="G408" s="33"/>
      <c r="H408" s="33"/>
      <c r="I408" s="33"/>
      <c r="J408" s="33"/>
      <c r="K408" s="33"/>
    </row>
    <row r="409" spans="1:11" ht="15.75">
      <c r="A409" s="33" t="s">
        <v>1769</v>
      </c>
      <c r="B409" s="33" t="s">
        <v>991</v>
      </c>
      <c r="C409" s="33" t="s">
        <v>1770</v>
      </c>
      <c r="D409" s="33" t="s">
        <v>993</v>
      </c>
      <c r="E409" s="33"/>
      <c r="F409" s="33"/>
      <c r="G409" s="33"/>
      <c r="H409" s="33"/>
      <c r="I409" s="33"/>
      <c r="J409" s="33"/>
      <c r="K409" s="33"/>
    </row>
    <row r="410" spans="1:11" ht="15.75">
      <c r="A410" s="33" t="s">
        <v>1771</v>
      </c>
      <c r="B410" s="33" t="s">
        <v>991</v>
      </c>
      <c r="C410" s="33" t="s">
        <v>1772</v>
      </c>
      <c r="D410" s="33" t="s">
        <v>993</v>
      </c>
      <c r="E410" s="33"/>
      <c r="F410" s="33"/>
      <c r="G410" s="33"/>
      <c r="H410" s="33"/>
      <c r="I410" s="33"/>
      <c r="J410" s="33"/>
      <c r="K410" s="33"/>
    </row>
    <row r="411" spans="1:11" ht="15.75">
      <c r="A411" s="33" t="s">
        <v>1773</v>
      </c>
      <c r="B411" s="33" t="s">
        <v>991</v>
      </c>
      <c r="C411" s="33" t="s">
        <v>1774</v>
      </c>
      <c r="D411" s="33" t="s">
        <v>993</v>
      </c>
      <c r="E411" s="33"/>
      <c r="F411" s="33"/>
      <c r="G411" s="33"/>
      <c r="H411" s="33"/>
      <c r="I411" s="33"/>
      <c r="J411" s="33"/>
      <c r="K411" s="33"/>
    </row>
    <row r="412" spans="1:11" ht="15.75">
      <c r="A412" s="33" t="s">
        <v>1775</v>
      </c>
      <c r="B412" s="33" t="s">
        <v>991</v>
      </c>
      <c r="C412" s="33" t="s">
        <v>1776</v>
      </c>
      <c r="D412" s="33" t="s">
        <v>993</v>
      </c>
      <c r="E412" s="33"/>
      <c r="F412" s="33"/>
      <c r="G412" s="33"/>
      <c r="H412" s="33"/>
      <c r="I412" s="33"/>
      <c r="J412" s="33"/>
      <c r="K412" s="33"/>
    </row>
    <row r="413" spans="1:11" ht="15.75">
      <c r="A413" s="33" t="s">
        <v>1777</v>
      </c>
      <c r="B413" s="33" t="s">
        <v>991</v>
      </c>
      <c r="C413" s="33" t="s">
        <v>1778</v>
      </c>
      <c r="D413" s="33" t="s">
        <v>993</v>
      </c>
      <c r="E413" s="33"/>
      <c r="F413" s="33"/>
      <c r="G413" s="33"/>
      <c r="H413" s="33"/>
      <c r="I413" s="33"/>
      <c r="J413" s="33"/>
      <c r="K413" s="33"/>
    </row>
    <row r="414" spans="1:11" ht="15.75">
      <c r="A414" s="33" t="s">
        <v>933</v>
      </c>
      <c r="B414" s="33" t="s">
        <v>991</v>
      </c>
      <c r="C414" s="33" t="s">
        <v>1779</v>
      </c>
      <c r="D414" s="33" t="s">
        <v>1005</v>
      </c>
      <c r="E414" s="33"/>
      <c r="F414" s="33"/>
      <c r="G414" s="33"/>
      <c r="H414" s="33"/>
      <c r="I414" s="33"/>
      <c r="J414" s="33"/>
      <c r="K414" s="33"/>
    </row>
    <row r="415" spans="1:11" ht="15.75">
      <c r="A415" s="33" t="s">
        <v>1780</v>
      </c>
      <c r="B415" s="33" t="s">
        <v>991</v>
      </c>
      <c r="C415" s="33" t="s">
        <v>1781</v>
      </c>
      <c r="D415" s="33" t="s">
        <v>993</v>
      </c>
      <c r="E415" s="33"/>
      <c r="F415" s="33"/>
      <c r="G415" s="33"/>
      <c r="H415" s="33"/>
      <c r="I415" s="33"/>
      <c r="J415" s="33"/>
      <c r="K415" s="33"/>
    </row>
    <row r="416" spans="1:11" ht="15.75">
      <c r="A416" s="33" t="s">
        <v>1782</v>
      </c>
      <c r="B416" s="33" t="s">
        <v>991</v>
      </c>
      <c r="C416" s="33" t="s">
        <v>1783</v>
      </c>
      <c r="D416" s="33" t="s">
        <v>993</v>
      </c>
      <c r="E416" s="33"/>
      <c r="F416" s="33"/>
      <c r="G416" s="33"/>
      <c r="H416" s="33"/>
      <c r="I416" s="33"/>
      <c r="J416" s="33"/>
      <c r="K416" s="33"/>
    </row>
    <row r="417" spans="1:11" ht="15.75">
      <c r="A417" s="33" t="s">
        <v>1784</v>
      </c>
      <c r="B417" s="33" t="s">
        <v>991</v>
      </c>
      <c r="C417" s="33" t="s">
        <v>1785</v>
      </c>
      <c r="D417" s="33" t="s">
        <v>993</v>
      </c>
      <c r="E417" s="33"/>
      <c r="F417" s="33"/>
      <c r="G417" s="33"/>
      <c r="H417" s="33"/>
      <c r="I417" s="33"/>
      <c r="J417" s="33"/>
      <c r="K417" s="33"/>
    </row>
    <row r="418" spans="1:11" ht="15.75">
      <c r="A418" s="33" t="s">
        <v>1786</v>
      </c>
      <c r="B418" s="33" t="s">
        <v>991</v>
      </c>
      <c r="C418" s="33" t="s">
        <v>1787</v>
      </c>
      <c r="D418" s="33" t="s">
        <v>993</v>
      </c>
      <c r="E418" s="33"/>
      <c r="F418" s="33"/>
      <c r="G418" s="33"/>
      <c r="H418" s="33"/>
      <c r="I418" s="33"/>
      <c r="J418" s="33"/>
      <c r="K418" s="33"/>
    </row>
    <row r="419" spans="1:11" ht="15.75">
      <c r="A419" s="33" t="s">
        <v>1788</v>
      </c>
      <c r="B419" s="33" t="s">
        <v>991</v>
      </c>
      <c r="C419" s="33" t="s">
        <v>1789</v>
      </c>
      <c r="D419" s="33" t="s">
        <v>993</v>
      </c>
      <c r="E419" s="33"/>
      <c r="F419" s="33"/>
      <c r="G419" s="33"/>
      <c r="H419" s="33"/>
      <c r="I419" s="33"/>
      <c r="J419" s="33"/>
      <c r="K419" s="33"/>
    </row>
    <row r="420" spans="1:11" ht="15.75">
      <c r="A420" s="33" t="s">
        <v>1790</v>
      </c>
      <c r="B420" s="33" t="s">
        <v>991</v>
      </c>
      <c r="C420" s="33" t="s">
        <v>1791</v>
      </c>
      <c r="D420" s="33" t="s">
        <v>993</v>
      </c>
      <c r="E420" s="33"/>
      <c r="F420" s="33"/>
      <c r="G420" s="33"/>
      <c r="H420" s="33"/>
      <c r="I420" s="33"/>
      <c r="J420" s="33"/>
      <c r="K420" s="33"/>
    </row>
    <row r="421" spans="1:11" ht="15.75">
      <c r="A421" s="33" t="s">
        <v>1792</v>
      </c>
      <c r="B421" s="33" t="s">
        <v>991</v>
      </c>
      <c r="C421" s="33" t="s">
        <v>1793</v>
      </c>
      <c r="D421" s="33" t="s">
        <v>993</v>
      </c>
      <c r="E421" s="33"/>
      <c r="F421" s="33"/>
      <c r="G421" s="33"/>
      <c r="H421" s="33"/>
      <c r="I421" s="33"/>
      <c r="J421" s="33"/>
      <c r="K421" s="33"/>
    </row>
    <row r="422" spans="1:11" ht="15.75">
      <c r="A422" s="33" t="s">
        <v>1794</v>
      </c>
      <c r="B422" s="33" t="s">
        <v>991</v>
      </c>
      <c r="C422" s="33" t="s">
        <v>1795</v>
      </c>
      <c r="D422" s="33" t="s">
        <v>1796</v>
      </c>
      <c r="E422" s="33"/>
      <c r="F422" s="33"/>
      <c r="G422" s="33"/>
      <c r="H422" s="33"/>
      <c r="I422" s="33"/>
      <c r="J422" s="33"/>
      <c r="K422" s="33"/>
    </row>
    <row r="423" spans="1:11" ht="15.75">
      <c r="A423" s="33" t="s">
        <v>954</v>
      </c>
      <c r="B423" s="33" t="s">
        <v>991</v>
      </c>
      <c r="C423" s="33" t="s">
        <v>1797</v>
      </c>
      <c r="D423" s="33" t="s">
        <v>1005</v>
      </c>
      <c r="E423" s="33"/>
      <c r="F423" s="33"/>
      <c r="G423" s="33"/>
      <c r="H423" s="33"/>
      <c r="I423" s="33"/>
      <c r="J423" s="33"/>
      <c r="K423" s="33"/>
    </row>
    <row r="424" spans="1:11" ht="15.75">
      <c r="A424" s="33" t="s">
        <v>1798</v>
      </c>
      <c r="B424" s="33" t="s">
        <v>991</v>
      </c>
      <c r="C424" s="33" t="s">
        <v>1799</v>
      </c>
      <c r="D424" s="33" t="s">
        <v>993</v>
      </c>
      <c r="E424" s="33"/>
      <c r="F424" s="33"/>
      <c r="G424" s="33"/>
      <c r="H424" s="33"/>
      <c r="I424" s="33"/>
      <c r="J424" s="33"/>
      <c r="K424" s="33"/>
    </row>
    <row r="425" spans="1:11" ht="15.75">
      <c r="A425" s="33" t="s">
        <v>930</v>
      </c>
      <c r="B425" s="33" t="s">
        <v>991</v>
      </c>
      <c r="C425" s="33" t="s">
        <v>1800</v>
      </c>
      <c r="D425" s="33" t="s">
        <v>1005</v>
      </c>
      <c r="E425" s="33"/>
      <c r="F425" s="33"/>
      <c r="G425" s="33"/>
      <c r="H425" s="33"/>
      <c r="I425" s="33"/>
      <c r="J425" s="33"/>
      <c r="K425" s="33"/>
    </row>
    <row r="426" spans="1:11" ht="15.75">
      <c r="A426" s="33" t="s">
        <v>1801</v>
      </c>
      <c r="B426" s="33" t="s">
        <v>991</v>
      </c>
      <c r="C426" s="33" t="s">
        <v>1802</v>
      </c>
      <c r="D426" s="33" t="s">
        <v>993</v>
      </c>
      <c r="E426" s="33"/>
      <c r="F426" s="33"/>
      <c r="G426" s="33"/>
      <c r="H426" s="33"/>
      <c r="I426" s="33"/>
      <c r="J426" s="33"/>
      <c r="K426" s="33"/>
    </row>
    <row r="427" spans="1:11" ht="15.75">
      <c r="A427" s="33" t="s">
        <v>1803</v>
      </c>
      <c r="B427" s="33" t="s">
        <v>991</v>
      </c>
      <c r="C427" s="33" t="s">
        <v>1804</v>
      </c>
      <c r="D427" s="33" t="s">
        <v>993</v>
      </c>
      <c r="E427" s="33"/>
      <c r="F427" s="33"/>
      <c r="G427" s="33"/>
      <c r="H427" s="33"/>
      <c r="I427" s="33"/>
      <c r="J427" s="33"/>
      <c r="K427" s="33"/>
    </row>
    <row r="428" spans="1:11" ht="15.75">
      <c r="A428" s="33" t="s">
        <v>1805</v>
      </c>
      <c r="B428" s="33" t="s">
        <v>991</v>
      </c>
      <c r="C428" s="33" t="s">
        <v>1806</v>
      </c>
      <c r="D428" s="33" t="s">
        <v>993</v>
      </c>
      <c r="E428" s="33"/>
      <c r="F428" s="33"/>
      <c r="G428" s="33"/>
      <c r="H428" s="33"/>
      <c r="I428" s="33"/>
      <c r="J428" s="33"/>
      <c r="K428" s="33"/>
    </row>
    <row r="429" spans="1:11" ht="15.75">
      <c r="A429" s="33" t="s">
        <v>1807</v>
      </c>
      <c r="B429" s="33" t="s">
        <v>991</v>
      </c>
      <c r="C429" s="33" t="s">
        <v>1808</v>
      </c>
      <c r="D429" s="33" t="s">
        <v>993</v>
      </c>
      <c r="E429" s="33"/>
      <c r="F429" s="33"/>
      <c r="G429" s="33"/>
      <c r="H429" s="33"/>
      <c r="I429" s="33"/>
      <c r="J429" s="33"/>
      <c r="K429" s="33"/>
    </row>
    <row r="430" spans="1:11" ht="15.75">
      <c r="A430" s="33" t="s">
        <v>1809</v>
      </c>
      <c r="B430" s="33" t="s">
        <v>991</v>
      </c>
      <c r="C430" s="33" t="s">
        <v>1810</v>
      </c>
      <c r="D430" s="33" t="s">
        <v>993</v>
      </c>
      <c r="E430" s="33"/>
      <c r="F430" s="33"/>
      <c r="G430" s="33"/>
      <c r="H430" s="33"/>
      <c r="I430" s="33"/>
      <c r="J430" s="33"/>
      <c r="K430" s="33"/>
    </row>
    <row r="431" spans="1:11" ht="15.75">
      <c r="A431" s="33" t="s">
        <v>1811</v>
      </c>
      <c r="B431" s="33" t="s">
        <v>991</v>
      </c>
      <c r="C431" s="33" t="s">
        <v>1812</v>
      </c>
      <c r="D431" s="33" t="s">
        <v>993</v>
      </c>
      <c r="E431" s="33"/>
      <c r="F431" s="33"/>
      <c r="G431" s="33"/>
      <c r="H431" s="33"/>
      <c r="I431" s="33"/>
      <c r="J431" s="33"/>
      <c r="K431" s="33"/>
    </row>
    <row r="432" spans="1:11" ht="15.75">
      <c r="A432" s="33" t="s">
        <v>1813</v>
      </c>
      <c r="B432" s="33" t="s">
        <v>991</v>
      </c>
      <c r="C432" s="33" t="s">
        <v>1814</v>
      </c>
      <c r="D432" s="33" t="s">
        <v>993</v>
      </c>
      <c r="E432" s="33"/>
      <c r="F432" s="33"/>
      <c r="G432" s="33"/>
      <c r="H432" s="33"/>
      <c r="I432" s="33"/>
      <c r="J432" s="33"/>
      <c r="K432" s="33"/>
    </row>
    <row r="433" spans="1:11" ht="15.75">
      <c r="A433" s="33" t="s">
        <v>1815</v>
      </c>
      <c r="B433" s="33" t="s">
        <v>991</v>
      </c>
      <c r="C433" s="33" t="s">
        <v>1816</v>
      </c>
      <c r="D433" s="33" t="s">
        <v>993</v>
      </c>
      <c r="E433" s="33"/>
      <c r="F433" s="33"/>
      <c r="G433" s="33"/>
      <c r="H433" s="33"/>
      <c r="I433" s="33"/>
      <c r="J433" s="33"/>
      <c r="K433" s="33"/>
    </row>
    <row r="434" spans="1:11" ht="15.75">
      <c r="A434" s="33" t="s">
        <v>1817</v>
      </c>
      <c r="B434" s="33" t="s">
        <v>991</v>
      </c>
      <c r="C434" s="33" t="s">
        <v>1818</v>
      </c>
      <c r="D434" s="33" t="s">
        <v>993</v>
      </c>
      <c r="E434" s="33"/>
      <c r="F434" s="33"/>
      <c r="G434" s="33"/>
      <c r="H434" s="33"/>
      <c r="I434" s="33"/>
      <c r="J434" s="33"/>
      <c r="K434" s="33"/>
    </row>
    <row r="435" spans="1:11" ht="15.75">
      <c r="A435" s="33" t="s">
        <v>1819</v>
      </c>
      <c r="B435" s="33" t="s">
        <v>991</v>
      </c>
      <c r="C435" s="33" t="s">
        <v>1820</v>
      </c>
      <c r="D435" s="33" t="s">
        <v>993</v>
      </c>
      <c r="E435" s="33"/>
      <c r="F435" s="33"/>
      <c r="G435" s="33"/>
      <c r="H435" s="33"/>
      <c r="I435" s="33"/>
      <c r="J435" s="33"/>
      <c r="K435" s="33"/>
    </row>
    <row r="436" spans="1:11" ht="15.75">
      <c r="A436" s="33" t="s">
        <v>1821</v>
      </c>
      <c r="B436" s="33" t="s">
        <v>991</v>
      </c>
      <c r="C436" s="33" t="s">
        <v>1822</v>
      </c>
      <c r="D436" s="33" t="s">
        <v>993</v>
      </c>
      <c r="E436" s="33"/>
      <c r="F436" s="33"/>
      <c r="G436" s="33"/>
      <c r="H436" s="33"/>
      <c r="I436" s="33"/>
      <c r="J436" s="33"/>
      <c r="K436" s="33"/>
    </row>
    <row r="437" spans="1:11" ht="15.75">
      <c r="A437" s="33" t="s">
        <v>932</v>
      </c>
      <c r="B437" s="33" t="s">
        <v>991</v>
      </c>
      <c r="C437" s="33" t="s">
        <v>1823</v>
      </c>
      <c r="D437" s="33" t="s">
        <v>1005</v>
      </c>
      <c r="E437" s="33"/>
      <c r="F437" s="33"/>
      <c r="G437" s="33"/>
      <c r="H437" s="33"/>
      <c r="I437" s="33"/>
      <c r="J437" s="33"/>
      <c r="K437" s="33"/>
    </row>
    <row r="438" spans="1:11" ht="15.75">
      <c r="A438" s="33" t="s">
        <v>1824</v>
      </c>
      <c r="B438" s="33" t="s">
        <v>991</v>
      </c>
      <c r="C438" s="33" t="s">
        <v>1825</v>
      </c>
      <c r="D438" s="33" t="s">
        <v>993</v>
      </c>
      <c r="E438" s="33"/>
      <c r="F438" s="33"/>
      <c r="G438" s="33"/>
      <c r="H438" s="33"/>
      <c r="I438" s="33"/>
      <c r="J438" s="33"/>
      <c r="K438" s="33"/>
    </row>
    <row r="439" spans="1:11" ht="15.75">
      <c r="A439" s="33" t="s">
        <v>1826</v>
      </c>
      <c r="B439" s="33" t="s">
        <v>991</v>
      </c>
      <c r="C439" s="33" t="s">
        <v>1827</v>
      </c>
      <c r="D439" s="33" t="s">
        <v>993</v>
      </c>
      <c r="E439" s="33"/>
      <c r="F439" s="33"/>
      <c r="G439" s="33"/>
      <c r="H439" s="33"/>
      <c r="I439" s="33"/>
      <c r="J439" s="33"/>
      <c r="K439" s="33"/>
    </row>
    <row r="440" spans="1:11" ht="15.75">
      <c r="A440" s="33" t="s">
        <v>1828</v>
      </c>
      <c r="B440" s="33" t="s">
        <v>991</v>
      </c>
      <c r="C440" s="33" t="s">
        <v>1829</v>
      </c>
      <c r="D440" s="33" t="s">
        <v>993</v>
      </c>
      <c r="E440" s="33"/>
      <c r="F440" s="33"/>
      <c r="G440" s="33"/>
      <c r="H440" s="33"/>
      <c r="I440" s="33"/>
      <c r="J440" s="33"/>
      <c r="K440" s="33"/>
    </row>
    <row r="441" spans="1:11" ht="15.75">
      <c r="A441" s="33" t="s">
        <v>1830</v>
      </c>
      <c r="B441" s="33" t="s">
        <v>991</v>
      </c>
      <c r="C441" s="33" t="s">
        <v>1831</v>
      </c>
      <c r="D441" s="33" t="s">
        <v>993</v>
      </c>
      <c r="E441" s="33"/>
      <c r="F441" s="33"/>
      <c r="G441" s="33"/>
      <c r="H441" s="33"/>
      <c r="I441" s="33"/>
      <c r="J441" s="33"/>
      <c r="K441" s="33"/>
    </row>
    <row r="442" spans="1:11" ht="15.75">
      <c r="A442" s="33" t="s">
        <v>1832</v>
      </c>
      <c r="B442" s="33" t="s">
        <v>991</v>
      </c>
      <c r="C442" s="33" t="s">
        <v>1833</v>
      </c>
      <c r="D442" s="33" t="s">
        <v>993</v>
      </c>
      <c r="E442" s="33"/>
      <c r="F442" s="33"/>
      <c r="G442" s="33"/>
      <c r="H442" s="33"/>
      <c r="I442" s="33"/>
      <c r="J442" s="33"/>
      <c r="K442" s="33"/>
    </row>
    <row r="443" spans="1:11" ht="15.75">
      <c r="A443" s="33" t="s">
        <v>1834</v>
      </c>
      <c r="B443" s="33" t="s">
        <v>991</v>
      </c>
      <c r="C443" s="33" t="s">
        <v>1835</v>
      </c>
      <c r="D443" s="33" t="s">
        <v>993</v>
      </c>
      <c r="E443" s="33"/>
      <c r="F443" s="33"/>
      <c r="G443" s="33"/>
      <c r="H443" s="33"/>
      <c r="I443" s="33"/>
      <c r="J443" s="33"/>
      <c r="K443" s="33"/>
    </row>
    <row r="444" spans="1:11" ht="15.75">
      <c r="A444" s="33" t="s">
        <v>1836</v>
      </c>
      <c r="B444" s="33" t="s">
        <v>991</v>
      </c>
      <c r="C444" s="33" t="s">
        <v>1837</v>
      </c>
      <c r="D444" s="33" t="s">
        <v>993</v>
      </c>
      <c r="E444" s="33"/>
      <c r="F444" s="33"/>
      <c r="G444" s="33"/>
      <c r="H444" s="33"/>
      <c r="I444" s="33"/>
      <c r="J444" s="33"/>
      <c r="K444" s="33"/>
    </row>
    <row r="445" spans="1:11" ht="15.75">
      <c r="A445" s="33" t="s">
        <v>1838</v>
      </c>
      <c r="B445" s="33" t="s">
        <v>991</v>
      </c>
      <c r="C445" s="33" t="s">
        <v>1839</v>
      </c>
      <c r="D445" s="33" t="s">
        <v>993</v>
      </c>
      <c r="E445" s="33"/>
      <c r="F445" s="33"/>
      <c r="G445" s="33"/>
      <c r="H445" s="33"/>
      <c r="I445" s="33"/>
      <c r="J445" s="33"/>
      <c r="K445" s="33"/>
    </row>
    <row r="446" spans="1:11" ht="15.75">
      <c r="A446" s="33" t="s">
        <v>1840</v>
      </c>
      <c r="B446" s="33" t="s">
        <v>991</v>
      </c>
      <c r="C446" s="33" t="s">
        <v>1841</v>
      </c>
      <c r="D446" s="33" t="s">
        <v>993</v>
      </c>
      <c r="E446" s="33"/>
      <c r="F446" s="33"/>
      <c r="G446" s="33"/>
      <c r="H446" s="33"/>
      <c r="I446" s="33"/>
      <c r="J446" s="33"/>
      <c r="K446" s="33"/>
    </row>
    <row r="447" spans="1:11" ht="15.75">
      <c r="A447" s="33" t="s">
        <v>1842</v>
      </c>
      <c r="B447" s="33" t="s">
        <v>991</v>
      </c>
      <c r="C447" s="33" t="s">
        <v>1843</v>
      </c>
      <c r="D447" s="33" t="s">
        <v>993</v>
      </c>
      <c r="E447" s="33"/>
      <c r="F447" s="33"/>
      <c r="G447" s="33"/>
      <c r="H447" s="33"/>
      <c r="I447" s="33"/>
      <c r="J447" s="33"/>
      <c r="K447" s="33"/>
    </row>
    <row r="448" spans="1:11" ht="15.75">
      <c r="A448" s="33" t="s">
        <v>1844</v>
      </c>
      <c r="B448" s="33" t="s">
        <v>991</v>
      </c>
      <c r="C448" s="33" t="s">
        <v>1845</v>
      </c>
      <c r="D448" s="33" t="s">
        <v>993</v>
      </c>
      <c r="E448" s="33"/>
      <c r="F448" s="33"/>
      <c r="G448" s="33"/>
      <c r="H448" s="33"/>
      <c r="I448" s="33"/>
      <c r="J448" s="33"/>
      <c r="K448" s="33"/>
    </row>
    <row r="449" spans="1:11" ht="15.75">
      <c r="A449" s="33" t="s">
        <v>1846</v>
      </c>
      <c r="B449" s="33" t="s">
        <v>991</v>
      </c>
      <c r="C449" s="33" t="s">
        <v>1847</v>
      </c>
      <c r="D449" s="33" t="s">
        <v>993</v>
      </c>
      <c r="E449" s="33"/>
      <c r="F449" s="33"/>
      <c r="G449" s="33"/>
      <c r="H449" s="33"/>
      <c r="I449" s="33"/>
      <c r="J449" s="33"/>
      <c r="K449" s="33"/>
    </row>
    <row r="450" spans="1:11" ht="15.75">
      <c r="A450" s="33" t="s">
        <v>1848</v>
      </c>
      <c r="B450" s="33" t="s">
        <v>991</v>
      </c>
      <c r="C450" s="33" t="s">
        <v>1849</v>
      </c>
      <c r="D450" s="33" t="s">
        <v>993</v>
      </c>
      <c r="E450" s="33"/>
      <c r="F450" s="33"/>
      <c r="G450" s="33"/>
      <c r="H450" s="33"/>
      <c r="I450" s="33"/>
      <c r="J450" s="33"/>
      <c r="K450" s="33"/>
    </row>
    <row r="451" spans="1:11" ht="15.75">
      <c r="A451" s="33" t="s">
        <v>1850</v>
      </c>
      <c r="B451" s="33" t="s">
        <v>991</v>
      </c>
      <c r="C451" s="33" t="s">
        <v>1851</v>
      </c>
      <c r="D451" s="33" t="s">
        <v>993</v>
      </c>
      <c r="E451" s="33"/>
      <c r="F451" s="33"/>
      <c r="G451" s="33"/>
      <c r="H451" s="33"/>
      <c r="I451" s="33"/>
      <c r="J451" s="33"/>
      <c r="K451" s="33"/>
    </row>
    <row r="452" spans="1:11" ht="15.75">
      <c r="A452" s="33" t="s">
        <v>955</v>
      </c>
      <c r="B452" s="33" t="s">
        <v>991</v>
      </c>
      <c r="C452" s="33" t="s">
        <v>1852</v>
      </c>
      <c r="D452" s="33" t="s">
        <v>1005</v>
      </c>
      <c r="E452" s="33"/>
      <c r="F452" s="33"/>
      <c r="G452" s="33"/>
      <c r="H452" s="33"/>
      <c r="I452" s="33"/>
      <c r="J452" s="33"/>
      <c r="K452" s="33"/>
    </row>
    <row r="453" spans="1:11" ht="15.75">
      <c r="A453" s="33" t="s">
        <v>1853</v>
      </c>
      <c r="B453" s="33" t="s">
        <v>991</v>
      </c>
      <c r="C453" s="33" t="s">
        <v>1854</v>
      </c>
      <c r="D453" s="33" t="s">
        <v>993</v>
      </c>
      <c r="E453" s="33"/>
      <c r="F453" s="33"/>
      <c r="G453" s="33"/>
      <c r="H453" s="33"/>
      <c r="I453" s="33"/>
      <c r="J453" s="33"/>
      <c r="K453" s="33"/>
    </row>
    <row r="454" spans="1:11" ht="15.75">
      <c r="A454" s="33" t="s">
        <v>1855</v>
      </c>
      <c r="B454" s="33" t="s">
        <v>991</v>
      </c>
      <c r="C454" s="33" t="s">
        <v>1856</v>
      </c>
      <c r="D454" s="33" t="s">
        <v>993</v>
      </c>
      <c r="E454" s="33"/>
      <c r="F454" s="33"/>
      <c r="G454" s="33"/>
      <c r="H454" s="33"/>
      <c r="I454" s="33"/>
      <c r="J454" s="33"/>
      <c r="K454" s="33"/>
    </row>
    <row r="455" spans="1:11" ht="15.75">
      <c r="A455" s="33" t="s">
        <v>1857</v>
      </c>
      <c r="B455" s="33" t="s">
        <v>991</v>
      </c>
      <c r="C455" s="33" t="s">
        <v>1858</v>
      </c>
      <c r="D455" s="33" t="s">
        <v>993</v>
      </c>
      <c r="E455" s="33"/>
      <c r="F455" s="33"/>
      <c r="G455" s="33"/>
      <c r="H455" s="33"/>
      <c r="I455" s="33"/>
      <c r="J455" s="33"/>
      <c r="K455" s="33"/>
    </row>
    <row r="456" spans="1:11" ht="15.75">
      <c r="A456" s="33" t="s">
        <v>1859</v>
      </c>
      <c r="B456" s="33" t="s">
        <v>991</v>
      </c>
      <c r="C456" s="33" t="s">
        <v>1860</v>
      </c>
      <c r="D456" s="33" t="s">
        <v>993</v>
      </c>
      <c r="E456" s="33"/>
      <c r="F456" s="33"/>
      <c r="G456" s="33"/>
      <c r="H456" s="33"/>
      <c r="I456" s="33"/>
      <c r="J456" s="33"/>
      <c r="K456" s="33"/>
    </row>
    <row r="457" spans="1:11" ht="15.75">
      <c r="A457" s="33" t="s">
        <v>1861</v>
      </c>
      <c r="B457" s="33" t="s">
        <v>991</v>
      </c>
      <c r="C457" s="33" t="s">
        <v>1862</v>
      </c>
      <c r="D457" s="33" t="s">
        <v>993</v>
      </c>
      <c r="E457" s="33"/>
      <c r="F457" s="33"/>
      <c r="G457" s="33"/>
      <c r="H457" s="33"/>
      <c r="I457" s="33"/>
      <c r="J457" s="33"/>
      <c r="K457" s="33"/>
    </row>
    <row r="458" spans="1:11" ht="15.75">
      <c r="A458" s="33" t="s">
        <v>1863</v>
      </c>
      <c r="B458" s="33" t="s">
        <v>991</v>
      </c>
      <c r="C458" s="33" t="s">
        <v>1864</v>
      </c>
      <c r="D458" s="33" t="s">
        <v>993</v>
      </c>
      <c r="E458" s="33"/>
      <c r="F458" s="33"/>
      <c r="G458" s="33"/>
      <c r="H458" s="33"/>
      <c r="I458" s="33"/>
      <c r="J458" s="33"/>
      <c r="K458" s="33"/>
    </row>
    <row r="459" spans="1:11" ht="15.75">
      <c r="A459" s="33" t="s">
        <v>1865</v>
      </c>
      <c r="B459" s="33" t="s">
        <v>991</v>
      </c>
      <c r="C459" s="33" t="s">
        <v>1866</v>
      </c>
      <c r="D459" s="33" t="s">
        <v>993</v>
      </c>
      <c r="E459" s="33"/>
      <c r="F459" s="33"/>
      <c r="G459" s="33"/>
      <c r="H459" s="33"/>
      <c r="I459" s="33"/>
      <c r="J459" s="33"/>
      <c r="K459" s="33"/>
    </row>
    <row r="460" spans="1:11" ht="15.75">
      <c r="A460" s="33" t="s">
        <v>1867</v>
      </c>
      <c r="B460" s="33" t="s">
        <v>991</v>
      </c>
      <c r="C460" s="33" t="s">
        <v>1868</v>
      </c>
      <c r="D460" s="33" t="s">
        <v>993</v>
      </c>
      <c r="E460" s="33"/>
      <c r="F460" s="33"/>
      <c r="G460" s="33"/>
      <c r="H460" s="33"/>
      <c r="I460" s="33"/>
      <c r="J460" s="33"/>
      <c r="K460" s="33"/>
    </row>
    <row r="461" spans="1:11" ht="15.75">
      <c r="A461" s="33" t="s">
        <v>1869</v>
      </c>
      <c r="B461" s="33" t="s">
        <v>991</v>
      </c>
      <c r="C461" s="33" t="s">
        <v>1870</v>
      </c>
      <c r="D461" s="33" t="s">
        <v>993</v>
      </c>
      <c r="E461" s="33"/>
      <c r="F461" s="33"/>
      <c r="G461" s="33"/>
      <c r="H461" s="33"/>
      <c r="I461" s="33"/>
      <c r="J461" s="33"/>
      <c r="K461" s="33"/>
    </row>
    <row r="462" spans="1:11" ht="15.75">
      <c r="A462" s="33" t="s">
        <v>1871</v>
      </c>
      <c r="B462" s="33" t="s">
        <v>991</v>
      </c>
      <c r="C462" s="33" t="s">
        <v>1872</v>
      </c>
      <c r="D462" s="33" t="s">
        <v>993</v>
      </c>
      <c r="E462" s="33"/>
      <c r="F462" s="33"/>
      <c r="G462" s="33"/>
      <c r="H462" s="33"/>
      <c r="I462" s="33"/>
      <c r="J462" s="33"/>
      <c r="K462" s="33"/>
    </row>
    <row r="463" spans="1:11" ht="15.75">
      <c r="A463" s="33" t="s">
        <v>1873</v>
      </c>
      <c r="B463" s="33" t="s">
        <v>991</v>
      </c>
      <c r="C463" s="33" t="s">
        <v>1874</v>
      </c>
      <c r="D463" s="33" t="s">
        <v>993</v>
      </c>
      <c r="E463" s="33"/>
      <c r="F463" s="33"/>
      <c r="G463" s="33"/>
      <c r="H463" s="33"/>
      <c r="I463" s="33"/>
      <c r="J463" s="33"/>
      <c r="K463" s="33"/>
    </row>
    <row r="464" spans="1:11" ht="15.75">
      <c r="A464" s="33" t="s">
        <v>1875</v>
      </c>
      <c r="B464" s="33" t="s">
        <v>991</v>
      </c>
      <c r="C464" s="33" t="s">
        <v>1876</v>
      </c>
      <c r="D464" s="33" t="s">
        <v>993</v>
      </c>
      <c r="E464" s="33"/>
      <c r="F464" s="33"/>
      <c r="G464" s="33"/>
      <c r="H464" s="33"/>
      <c r="I464" s="33"/>
      <c r="J464" s="33"/>
      <c r="K464" s="33"/>
    </row>
    <row r="465" spans="1:11" ht="15.75">
      <c r="A465" s="33" t="s">
        <v>1877</v>
      </c>
      <c r="B465" s="33" t="s">
        <v>991</v>
      </c>
      <c r="C465" s="33" t="s">
        <v>1878</v>
      </c>
      <c r="D465" s="33" t="s">
        <v>993</v>
      </c>
      <c r="E465" s="33"/>
      <c r="F465" s="33"/>
      <c r="G465" s="33"/>
      <c r="H465" s="33"/>
      <c r="I465" s="33"/>
      <c r="J465" s="33"/>
      <c r="K465" s="33"/>
    </row>
    <row r="466" spans="1:11" ht="15.75">
      <c r="A466" s="33" t="s">
        <v>1879</v>
      </c>
      <c r="B466" s="33" t="s">
        <v>991</v>
      </c>
      <c r="C466" s="33" t="s">
        <v>1880</v>
      </c>
      <c r="D466" s="33" t="s">
        <v>993</v>
      </c>
      <c r="E466" s="33"/>
      <c r="F466" s="33"/>
      <c r="G466" s="33"/>
      <c r="H466" s="33"/>
      <c r="I466" s="33"/>
      <c r="J466" s="33"/>
      <c r="K466" s="33"/>
    </row>
    <row r="467" spans="1:11" ht="15.75">
      <c r="A467" s="33" t="s">
        <v>1881</v>
      </c>
      <c r="B467" s="33" t="s">
        <v>991</v>
      </c>
      <c r="C467" s="33" t="s">
        <v>1882</v>
      </c>
      <c r="D467" s="33" t="s">
        <v>993</v>
      </c>
      <c r="E467" s="33"/>
      <c r="F467" s="33"/>
      <c r="G467" s="33"/>
      <c r="H467" s="33"/>
      <c r="I467" s="33"/>
      <c r="J467" s="33"/>
      <c r="K467" s="33"/>
    </row>
    <row r="468" spans="1:11" ht="15.75">
      <c r="A468" s="33" t="s">
        <v>1883</v>
      </c>
      <c r="B468" s="33" t="s">
        <v>991</v>
      </c>
      <c r="C468" s="33" t="s">
        <v>1884</v>
      </c>
      <c r="D468" s="33" t="s">
        <v>993</v>
      </c>
      <c r="E468" s="33"/>
      <c r="F468" s="33"/>
      <c r="G468" s="33"/>
      <c r="H468" s="33"/>
      <c r="I468" s="33"/>
      <c r="J468" s="33"/>
      <c r="K468" s="33"/>
    </row>
    <row r="469" spans="1:11" ht="15.75">
      <c r="A469" s="33" t="s">
        <v>1885</v>
      </c>
      <c r="B469" s="33" t="s">
        <v>991</v>
      </c>
      <c r="C469" s="33" t="s">
        <v>1886</v>
      </c>
      <c r="D469" s="33" t="s">
        <v>993</v>
      </c>
      <c r="E469" s="33"/>
      <c r="F469" s="33"/>
      <c r="G469" s="33"/>
      <c r="H469" s="33"/>
      <c r="I469" s="33"/>
      <c r="J469" s="33"/>
      <c r="K469" s="33"/>
    </row>
    <row r="470" spans="1:11" ht="15.75">
      <c r="A470" s="33" t="s">
        <v>951</v>
      </c>
      <c r="B470" s="33" t="s">
        <v>991</v>
      </c>
      <c r="C470" s="33" t="s">
        <v>1887</v>
      </c>
      <c r="D470" s="33" t="s">
        <v>1005</v>
      </c>
      <c r="E470" s="33"/>
      <c r="F470" s="33"/>
      <c r="G470" s="33"/>
      <c r="H470" s="33"/>
      <c r="I470" s="33"/>
      <c r="J470" s="33"/>
      <c r="K470" s="33"/>
    </row>
    <row r="471" spans="1:11" ht="15.75">
      <c r="A471" s="33" t="s">
        <v>1888</v>
      </c>
      <c r="B471" s="33" t="s">
        <v>991</v>
      </c>
      <c r="C471" s="33" t="s">
        <v>1889</v>
      </c>
      <c r="D471" s="33" t="s">
        <v>993</v>
      </c>
      <c r="E471" s="33"/>
      <c r="F471" s="33"/>
      <c r="G471" s="33"/>
      <c r="H471" s="33"/>
      <c r="I471" s="33"/>
      <c r="J471" s="33"/>
      <c r="K471" s="33"/>
    </row>
    <row r="472" spans="1:11" ht="15.75">
      <c r="A472" s="33" t="s">
        <v>1890</v>
      </c>
      <c r="B472" s="33" t="s">
        <v>991</v>
      </c>
      <c r="C472" s="33" t="s">
        <v>1891</v>
      </c>
      <c r="D472" s="33" t="s">
        <v>993</v>
      </c>
      <c r="E472" s="33"/>
      <c r="F472" s="33"/>
      <c r="G472" s="33"/>
      <c r="H472" s="33"/>
      <c r="I472" s="33"/>
      <c r="J472" s="33"/>
      <c r="K472" s="33"/>
    </row>
    <row r="473" spans="1:11" ht="15.75">
      <c r="A473" s="33" t="s">
        <v>1892</v>
      </c>
      <c r="B473" s="33" t="s">
        <v>991</v>
      </c>
      <c r="C473" s="33" t="s">
        <v>1893</v>
      </c>
      <c r="D473" s="33" t="s">
        <v>993</v>
      </c>
      <c r="E473" s="33"/>
      <c r="F473" s="33"/>
      <c r="G473" s="33"/>
      <c r="H473" s="33"/>
      <c r="I473" s="33"/>
      <c r="J473" s="33"/>
      <c r="K473" s="33"/>
    </row>
    <row r="474" spans="1:11" ht="15.75">
      <c r="A474" s="33" t="s">
        <v>1894</v>
      </c>
      <c r="B474" s="33" t="s">
        <v>991</v>
      </c>
      <c r="C474" s="33" t="s">
        <v>1895</v>
      </c>
      <c r="D474" s="33" t="s">
        <v>993</v>
      </c>
      <c r="E474" s="33"/>
      <c r="F474" s="33"/>
      <c r="G474" s="33"/>
      <c r="H474" s="33"/>
      <c r="I474" s="33"/>
      <c r="J474" s="33"/>
      <c r="K474" s="33"/>
    </row>
    <row r="475" spans="1:11" ht="15.75">
      <c r="A475" s="33" t="s">
        <v>1896</v>
      </c>
      <c r="B475" s="33" t="s">
        <v>991</v>
      </c>
      <c r="C475" s="33" t="s">
        <v>1897</v>
      </c>
      <c r="D475" s="33" t="s">
        <v>993</v>
      </c>
      <c r="E475" s="33"/>
      <c r="F475" s="33"/>
      <c r="G475" s="33"/>
      <c r="H475" s="33"/>
      <c r="I475" s="33"/>
      <c r="J475" s="33"/>
      <c r="K475" s="33"/>
    </row>
    <row r="476" spans="1:11" ht="15.75">
      <c r="A476" s="33" t="s">
        <v>1898</v>
      </c>
      <c r="B476" s="33" t="s">
        <v>991</v>
      </c>
      <c r="C476" s="33" t="s">
        <v>1899</v>
      </c>
      <c r="D476" s="33" t="s">
        <v>993</v>
      </c>
      <c r="E476" s="33"/>
      <c r="F476" s="33"/>
      <c r="G476" s="33"/>
      <c r="H476" s="33"/>
      <c r="I476" s="33"/>
      <c r="J476" s="33"/>
      <c r="K476" s="33"/>
    </row>
    <row r="477" spans="1:11" ht="15.75">
      <c r="A477" s="33" t="s">
        <v>1900</v>
      </c>
      <c r="B477" s="33" t="s">
        <v>991</v>
      </c>
      <c r="C477" s="33" t="s">
        <v>1901</v>
      </c>
      <c r="D477" s="33" t="s">
        <v>993</v>
      </c>
      <c r="E477" s="33"/>
      <c r="F477" s="33"/>
      <c r="G477" s="33"/>
      <c r="H477" s="33"/>
      <c r="I477" s="33"/>
      <c r="J477" s="33"/>
      <c r="K477" s="33"/>
    </row>
    <row r="478" spans="1:11" ht="15.75">
      <c r="A478" s="33" t="s">
        <v>1902</v>
      </c>
      <c r="B478" s="33" t="s">
        <v>991</v>
      </c>
      <c r="C478" s="33" t="s">
        <v>1903</v>
      </c>
      <c r="D478" s="33" t="s">
        <v>993</v>
      </c>
      <c r="E478" s="33"/>
      <c r="F478" s="33"/>
      <c r="G478" s="33"/>
      <c r="H478" s="33"/>
      <c r="I478" s="33"/>
      <c r="J478" s="33"/>
      <c r="K478" s="33"/>
    </row>
    <row r="479" spans="1:11" ht="15.75">
      <c r="A479" s="33" t="s">
        <v>945</v>
      </c>
      <c r="B479" s="33" t="s">
        <v>991</v>
      </c>
      <c r="C479" s="33" t="s">
        <v>1904</v>
      </c>
      <c r="D479" s="33" t="s">
        <v>1005</v>
      </c>
      <c r="E479" s="33"/>
      <c r="F479" s="33"/>
      <c r="G479" s="33"/>
      <c r="H479" s="33"/>
      <c r="I479" s="33"/>
      <c r="J479" s="33"/>
      <c r="K479" s="33"/>
    </row>
    <row r="480" spans="1:11" ht="15.75">
      <c r="A480" s="33" t="s">
        <v>972</v>
      </c>
      <c r="B480" s="33" t="s">
        <v>991</v>
      </c>
      <c r="C480" s="33" t="s">
        <v>1905</v>
      </c>
      <c r="D480" s="33" t="s">
        <v>1005</v>
      </c>
      <c r="E480" s="33"/>
      <c r="F480" s="33"/>
      <c r="G480" s="33"/>
      <c r="H480" s="33"/>
      <c r="I480" s="33"/>
      <c r="J480" s="33"/>
      <c r="K480" s="33"/>
    </row>
    <row r="481" spans="1:11" ht="15.75">
      <c r="A481" s="33" t="s">
        <v>928</v>
      </c>
      <c r="B481" s="33" t="s">
        <v>991</v>
      </c>
      <c r="C481" s="33" t="s">
        <v>1906</v>
      </c>
      <c r="D481" s="33" t="s">
        <v>1005</v>
      </c>
      <c r="E481" s="33"/>
      <c r="F481" s="33"/>
      <c r="G481" s="33"/>
      <c r="H481" s="33"/>
      <c r="I481" s="33"/>
      <c r="J481" s="33"/>
      <c r="K481" s="33"/>
    </row>
    <row r="482" spans="1:11" ht="15.75">
      <c r="A482" s="33" t="s">
        <v>1907</v>
      </c>
      <c r="B482" s="33" t="s">
        <v>991</v>
      </c>
      <c r="C482" s="33" t="s">
        <v>1908</v>
      </c>
      <c r="D482" s="33" t="s">
        <v>993</v>
      </c>
      <c r="E482" s="33"/>
      <c r="F482" s="33"/>
      <c r="G482" s="33"/>
      <c r="H482" s="33"/>
      <c r="I482" s="33"/>
      <c r="J482" s="33"/>
      <c r="K482" s="33"/>
    </row>
    <row r="483" spans="1:11" ht="15.75">
      <c r="A483" s="33" t="s">
        <v>1909</v>
      </c>
      <c r="B483" s="33" t="s">
        <v>991</v>
      </c>
      <c r="C483" s="33" t="s">
        <v>1910</v>
      </c>
      <c r="D483" s="33" t="s">
        <v>993</v>
      </c>
      <c r="E483" s="33"/>
      <c r="F483" s="33"/>
      <c r="G483" s="33"/>
      <c r="H483" s="33"/>
      <c r="I483" s="33"/>
      <c r="J483" s="33"/>
      <c r="K483" s="33"/>
    </row>
    <row r="484" spans="1:11" ht="15.75">
      <c r="A484" s="33" t="s">
        <v>1911</v>
      </c>
      <c r="B484" s="33" t="s">
        <v>991</v>
      </c>
      <c r="C484" s="33" t="s">
        <v>1912</v>
      </c>
      <c r="D484" s="33" t="s">
        <v>993</v>
      </c>
      <c r="E484" s="33"/>
      <c r="F484" s="33"/>
      <c r="G484" s="33"/>
      <c r="H484" s="33"/>
      <c r="I484" s="33"/>
      <c r="J484" s="33"/>
      <c r="K484" s="33"/>
    </row>
    <row r="485" spans="1:11" ht="15.75">
      <c r="A485" s="33" t="s">
        <v>1913</v>
      </c>
      <c r="B485" s="33" t="s">
        <v>991</v>
      </c>
      <c r="C485" s="33" t="s">
        <v>1914</v>
      </c>
      <c r="D485" s="33" t="s">
        <v>993</v>
      </c>
      <c r="E485" s="33"/>
      <c r="F485" s="33"/>
      <c r="G485" s="33"/>
      <c r="H485" s="33"/>
      <c r="I485" s="33"/>
      <c r="J485" s="33"/>
      <c r="K485" s="33"/>
    </row>
    <row r="486" spans="1:11" ht="15.75">
      <c r="A486" s="33" t="s">
        <v>1915</v>
      </c>
      <c r="B486" s="33" t="s">
        <v>991</v>
      </c>
      <c r="C486" s="33" t="s">
        <v>1916</v>
      </c>
      <c r="D486" s="33" t="s">
        <v>993</v>
      </c>
      <c r="E486" s="33"/>
      <c r="F486" s="33"/>
      <c r="G486" s="33"/>
      <c r="H486" s="33"/>
      <c r="I486" s="33"/>
      <c r="J486" s="33"/>
      <c r="K486" s="33"/>
    </row>
    <row r="487" spans="1:11" ht="15.75">
      <c r="A487" s="33" t="s">
        <v>1917</v>
      </c>
      <c r="B487" s="33" t="s">
        <v>991</v>
      </c>
      <c r="C487" s="33" t="s">
        <v>1918</v>
      </c>
      <c r="D487" s="33" t="s">
        <v>993</v>
      </c>
      <c r="E487" s="33"/>
      <c r="F487" s="33"/>
      <c r="G487" s="33"/>
      <c r="H487" s="33"/>
      <c r="I487" s="33"/>
      <c r="J487" s="33"/>
      <c r="K487" s="33"/>
    </row>
    <row r="488" spans="1:11" ht="15.75">
      <c r="A488" s="33" t="s">
        <v>1919</v>
      </c>
      <c r="B488" s="33" t="s">
        <v>991</v>
      </c>
      <c r="C488" s="33" t="s">
        <v>1920</v>
      </c>
      <c r="D488" s="33" t="s">
        <v>993</v>
      </c>
      <c r="E488" s="33"/>
      <c r="F488" s="33"/>
      <c r="G488" s="33"/>
      <c r="H488" s="33"/>
      <c r="I488" s="33"/>
      <c r="J488" s="33"/>
      <c r="K488" s="33"/>
    </row>
    <row r="489" spans="1:11" ht="15.75">
      <c r="A489" s="33" t="s">
        <v>1921</v>
      </c>
      <c r="B489" s="33" t="s">
        <v>991</v>
      </c>
      <c r="C489" s="33" t="s">
        <v>1922</v>
      </c>
      <c r="D489" s="33" t="s">
        <v>993</v>
      </c>
      <c r="E489" s="33"/>
      <c r="F489" s="33"/>
      <c r="G489" s="33"/>
      <c r="H489" s="33"/>
      <c r="I489" s="33"/>
      <c r="J489" s="33"/>
      <c r="K489" s="33"/>
    </row>
    <row r="490" spans="1:11" ht="15.75">
      <c r="A490" s="33" t="s">
        <v>1923</v>
      </c>
      <c r="B490" s="33" t="s">
        <v>991</v>
      </c>
      <c r="C490" s="33" t="s">
        <v>1924</v>
      </c>
      <c r="D490" s="33" t="s">
        <v>993</v>
      </c>
      <c r="E490" s="33"/>
      <c r="F490" s="33"/>
      <c r="G490" s="33"/>
      <c r="H490" s="33"/>
      <c r="I490" s="33"/>
      <c r="J490" s="33"/>
      <c r="K490" s="33"/>
    </row>
    <row r="491" spans="1:11" ht="15.75">
      <c r="A491" s="33" t="s">
        <v>1925</v>
      </c>
      <c r="B491" s="33" t="s">
        <v>991</v>
      </c>
      <c r="C491" s="33" t="s">
        <v>1926</v>
      </c>
      <c r="D491" s="33" t="s">
        <v>993</v>
      </c>
      <c r="E491" s="33"/>
      <c r="F491" s="33"/>
      <c r="G491" s="33"/>
      <c r="H491" s="33"/>
      <c r="I491" s="33"/>
      <c r="J491" s="33"/>
      <c r="K491" s="33"/>
    </row>
    <row r="492" spans="1:11" ht="15.75">
      <c r="A492" s="33" t="s">
        <v>1927</v>
      </c>
      <c r="B492" s="33" t="s">
        <v>991</v>
      </c>
      <c r="C492" s="33" t="s">
        <v>1928</v>
      </c>
      <c r="D492" s="33" t="s">
        <v>993</v>
      </c>
      <c r="E492" s="33"/>
      <c r="F492" s="33"/>
      <c r="G492" s="33"/>
      <c r="H492" s="33"/>
      <c r="I492" s="33"/>
      <c r="J492" s="33"/>
      <c r="K492" s="33"/>
    </row>
    <row r="493" spans="1:11" ht="15.75">
      <c r="A493" s="33" t="s">
        <v>1929</v>
      </c>
      <c r="B493" s="33" t="s">
        <v>991</v>
      </c>
      <c r="C493" s="33" t="s">
        <v>1930</v>
      </c>
      <c r="D493" s="33" t="s">
        <v>993</v>
      </c>
      <c r="E493" s="33"/>
      <c r="F493" s="33"/>
      <c r="G493" s="33"/>
      <c r="H493" s="33"/>
      <c r="I493" s="33"/>
      <c r="J493" s="33"/>
      <c r="K493" s="33"/>
    </row>
    <row r="494" spans="1:11" ht="15.75">
      <c r="A494" s="33" t="s">
        <v>1931</v>
      </c>
      <c r="B494" s="33" t="s">
        <v>991</v>
      </c>
      <c r="C494" s="33" t="s">
        <v>1932</v>
      </c>
      <c r="D494" s="33" t="s">
        <v>993</v>
      </c>
      <c r="E494" s="33"/>
      <c r="F494" s="33"/>
      <c r="G494" s="33"/>
      <c r="H494" s="33"/>
      <c r="I494" s="33"/>
      <c r="J494" s="33"/>
      <c r="K494" s="33"/>
    </row>
    <row r="495" spans="1:11" ht="15.75">
      <c r="A495" s="33" t="s">
        <v>1933</v>
      </c>
      <c r="B495" s="33" t="s">
        <v>991</v>
      </c>
      <c r="C495" s="33" t="s">
        <v>1934</v>
      </c>
      <c r="D495" s="33" t="s">
        <v>993</v>
      </c>
      <c r="E495" s="33"/>
      <c r="F495" s="33"/>
      <c r="G495" s="33"/>
      <c r="H495" s="33"/>
      <c r="I495" s="33"/>
      <c r="J495" s="33"/>
      <c r="K495" s="33"/>
    </row>
    <row r="496" spans="1:11" ht="15.75">
      <c r="A496" s="33" t="s">
        <v>1935</v>
      </c>
      <c r="B496" s="33" t="s">
        <v>991</v>
      </c>
      <c r="C496" s="33" t="s">
        <v>1936</v>
      </c>
      <c r="D496" s="33" t="s">
        <v>993</v>
      </c>
      <c r="E496" s="33"/>
      <c r="F496" s="33"/>
      <c r="G496" s="33"/>
      <c r="H496" s="33"/>
      <c r="I496" s="33"/>
      <c r="J496" s="33"/>
      <c r="K496" s="33"/>
    </row>
    <row r="497" spans="1:11" ht="15.75">
      <c r="A497" s="33" t="s">
        <v>1937</v>
      </c>
      <c r="B497" s="33" t="s">
        <v>991</v>
      </c>
      <c r="C497" s="33" t="s">
        <v>1938</v>
      </c>
      <c r="D497" s="33" t="s">
        <v>993</v>
      </c>
      <c r="E497" s="33"/>
      <c r="F497" s="33"/>
      <c r="G497" s="33"/>
      <c r="H497" s="33"/>
      <c r="I497" s="33"/>
      <c r="J497" s="33"/>
      <c r="K497" s="33"/>
    </row>
    <row r="498" spans="1:11" ht="15.75">
      <c r="A498" s="33" t="s">
        <v>1939</v>
      </c>
      <c r="B498" s="33" t="s">
        <v>991</v>
      </c>
      <c r="C498" s="33" t="s">
        <v>1940</v>
      </c>
      <c r="D498" s="33" t="s">
        <v>993</v>
      </c>
      <c r="E498" s="33"/>
      <c r="F498" s="33"/>
      <c r="G498" s="33"/>
      <c r="H498" s="33"/>
      <c r="I498" s="33"/>
      <c r="J498" s="33"/>
      <c r="K498" s="33"/>
    </row>
    <row r="499" spans="1:11" ht="15.75">
      <c r="A499" s="33" t="s">
        <v>1941</v>
      </c>
      <c r="B499" s="33" t="s">
        <v>991</v>
      </c>
      <c r="C499" s="33" t="s">
        <v>1942</v>
      </c>
      <c r="D499" s="33" t="s">
        <v>993</v>
      </c>
      <c r="E499" s="33"/>
      <c r="F499" s="33"/>
      <c r="G499" s="33"/>
      <c r="H499" s="33"/>
      <c r="I499" s="33"/>
      <c r="J499" s="33"/>
      <c r="K499" s="33"/>
    </row>
    <row r="500" spans="1:11" ht="15.75">
      <c r="A500" s="33" t="s">
        <v>1943</v>
      </c>
      <c r="B500" s="33" t="s">
        <v>991</v>
      </c>
      <c r="C500" s="33" t="s">
        <v>1944</v>
      </c>
      <c r="D500" s="33" t="s">
        <v>993</v>
      </c>
      <c r="E500" s="33"/>
      <c r="F500" s="33"/>
      <c r="G500" s="33"/>
      <c r="H500" s="33"/>
      <c r="I500" s="33"/>
      <c r="J500" s="33"/>
      <c r="K500" s="33"/>
    </row>
    <row r="501" spans="1:11" ht="15.75">
      <c r="A501" s="33" t="s">
        <v>1945</v>
      </c>
      <c r="B501" s="33" t="s">
        <v>991</v>
      </c>
      <c r="C501" s="33" t="s">
        <v>1946</v>
      </c>
      <c r="D501" s="33" t="s">
        <v>993</v>
      </c>
      <c r="E501" s="33"/>
      <c r="F501" s="33"/>
      <c r="G501" s="33"/>
      <c r="H501" s="33"/>
      <c r="I501" s="33"/>
      <c r="J501" s="33"/>
      <c r="K501" s="33"/>
    </row>
    <row r="502" spans="1:11" ht="15.75">
      <c r="A502" s="33" t="s">
        <v>1947</v>
      </c>
      <c r="B502" s="33" t="s">
        <v>991</v>
      </c>
      <c r="C502" s="33" t="s">
        <v>1948</v>
      </c>
      <c r="D502" s="33" t="s">
        <v>993</v>
      </c>
      <c r="E502" s="33"/>
      <c r="F502" s="33"/>
      <c r="G502" s="33"/>
      <c r="H502" s="33"/>
      <c r="I502" s="33"/>
      <c r="J502" s="33"/>
      <c r="K502" s="33"/>
    </row>
    <row r="503" spans="1:11" ht="15.75">
      <c r="A503" s="33" t="s">
        <v>1949</v>
      </c>
      <c r="B503" s="33" t="s">
        <v>991</v>
      </c>
      <c r="C503" s="33" t="s">
        <v>1950</v>
      </c>
      <c r="D503" s="33" t="s">
        <v>993</v>
      </c>
      <c r="E503" s="33"/>
      <c r="F503" s="33"/>
      <c r="G503" s="33"/>
      <c r="H503" s="33"/>
      <c r="I503" s="33"/>
      <c r="J503" s="33"/>
      <c r="K503" s="33"/>
    </row>
    <row r="504" spans="1:11" ht="15.75">
      <c r="A504" s="33" t="s">
        <v>1951</v>
      </c>
      <c r="B504" s="33" t="s">
        <v>991</v>
      </c>
      <c r="C504" s="33" t="s">
        <v>1952</v>
      </c>
      <c r="D504" s="33" t="s">
        <v>993</v>
      </c>
      <c r="E504" s="33"/>
      <c r="F504" s="33"/>
      <c r="G504" s="33"/>
      <c r="H504" s="33"/>
      <c r="I504" s="33"/>
      <c r="J504" s="33"/>
      <c r="K504" s="33"/>
    </row>
    <row r="505" spans="1:11" ht="15.75">
      <c r="A505" s="33" t="s">
        <v>1953</v>
      </c>
      <c r="B505" s="33" t="s">
        <v>991</v>
      </c>
      <c r="C505" s="33" t="s">
        <v>1954</v>
      </c>
      <c r="D505" s="33" t="s">
        <v>993</v>
      </c>
      <c r="E505" s="33"/>
      <c r="F505" s="33"/>
      <c r="G505" s="33"/>
      <c r="H505" s="33"/>
      <c r="I505" s="33"/>
      <c r="J505" s="33"/>
      <c r="K505" s="33"/>
    </row>
    <row r="506" spans="1:11" ht="15.75">
      <c r="A506" s="33" t="s">
        <v>1955</v>
      </c>
      <c r="B506" s="33" t="s">
        <v>991</v>
      </c>
      <c r="C506" s="33" t="s">
        <v>1956</v>
      </c>
      <c r="D506" s="33" t="s">
        <v>993</v>
      </c>
      <c r="E506" s="33"/>
      <c r="F506" s="33"/>
      <c r="G506" s="33"/>
      <c r="H506" s="33"/>
      <c r="I506" s="33"/>
      <c r="J506" s="33"/>
      <c r="K506" s="33"/>
    </row>
    <row r="507" spans="1:11" ht="15.75">
      <c r="A507" s="33" t="s">
        <v>1957</v>
      </c>
      <c r="B507" s="33" t="s">
        <v>991</v>
      </c>
      <c r="C507" s="33" t="s">
        <v>1958</v>
      </c>
      <c r="D507" s="33" t="s">
        <v>1005</v>
      </c>
      <c r="E507" s="33"/>
      <c r="F507" s="33"/>
      <c r="G507" s="33"/>
      <c r="H507" s="33"/>
      <c r="I507" s="33"/>
      <c r="J507" s="33"/>
      <c r="K507" s="33"/>
    </row>
    <row r="508" spans="1:11" ht="15.75">
      <c r="A508" s="33" t="s">
        <v>1959</v>
      </c>
      <c r="B508" s="33" t="s">
        <v>991</v>
      </c>
      <c r="C508" s="33" t="s">
        <v>1960</v>
      </c>
      <c r="D508" s="33" t="s">
        <v>993</v>
      </c>
      <c r="E508" s="33"/>
      <c r="F508" s="33"/>
      <c r="G508" s="33"/>
      <c r="H508" s="33"/>
      <c r="I508" s="33"/>
      <c r="J508" s="33"/>
      <c r="K508" s="33"/>
    </row>
    <row r="509" spans="1:11" ht="15.75">
      <c r="A509" s="33" t="s">
        <v>1961</v>
      </c>
      <c r="B509" s="33" t="s">
        <v>991</v>
      </c>
      <c r="C509" s="33" t="s">
        <v>1962</v>
      </c>
      <c r="D509" s="33" t="s">
        <v>993</v>
      </c>
      <c r="E509" s="33"/>
      <c r="F509" s="33"/>
      <c r="G509" s="33"/>
      <c r="H509" s="33"/>
      <c r="I509" s="33"/>
      <c r="J509" s="33"/>
      <c r="K509" s="33"/>
    </row>
    <row r="510" spans="1:11" ht="15.75">
      <c r="A510" s="33" t="s">
        <v>1963</v>
      </c>
      <c r="B510" s="33" t="s">
        <v>991</v>
      </c>
      <c r="C510" s="33" t="s">
        <v>1964</v>
      </c>
      <c r="D510" s="33" t="s">
        <v>993</v>
      </c>
      <c r="E510" s="33"/>
      <c r="F510" s="33"/>
      <c r="G510" s="33"/>
      <c r="H510" s="33"/>
      <c r="I510" s="33"/>
      <c r="J510" s="33"/>
      <c r="K510" s="33"/>
    </row>
    <row r="511" spans="1:11" ht="15.75">
      <c r="A511" s="33" t="s">
        <v>1965</v>
      </c>
      <c r="B511" s="33" t="s">
        <v>991</v>
      </c>
      <c r="C511" s="33" t="s">
        <v>1966</v>
      </c>
      <c r="D511" s="33" t="s">
        <v>993</v>
      </c>
      <c r="E511" s="33"/>
      <c r="F511" s="33"/>
      <c r="G511" s="33"/>
      <c r="H511" s="33"/>
      <c r="I511" s="33"/>
      <c r="J511" s="33"/>
      <c r="K511" s="33"/>
    </row>
    <row r="512" spans="1:11" ht="15.75">
      <c r="A512" s="33" t="s">
        <v>1967</v>
      </c>
      <c r="B512" s="33" t="s">
        <v>991</v>
      </c>
      <c r="C512" s="33" t="s">
        <v>1968</v>
      </c>
      <c r="D512" s="33" t="s">
        <v>993</v>
      </c>
      <c r="E512" s="33"/>
      <c r="F512" s="33"/>
      <c r="G512" s="33"/>
      <c r="H512" s="33"/>
      <c r="I512" s="33"/>
      <c r="J512" s="33"/>
      <c r="K512" s="33"/>
    </row>
    <row r="513" spans="1:11" ht="15.75">
      <c r="A513" s="33" t="s">
        <v>929</v>
      </c>
      <c r="B513" s="33" t="s">
        <v>991</v>
      </c>
      <c r="C513" s="33" t="s">
        <v>1969</v>
      </c>
      <c r="D513" s="33" t="s">
        <v>1005</v>
      </c>
      <c r="E513" s="33"/>
      <c r="F513" s="33"/>
      <c r="G513" s="33"/>
      <c r="H513" s="33"/>
      <c r="I513" s="33"/>
      <c r="J513" s="33"/>
      <c r="K513" s="33"/>
    </row>
    <row r="514" spans="1:11" ht="15.75">
      <c r="A514" s="33" t="s">
        <v>1970</v>
      </c>
      <c r="B514" s="33" t="s">
        <v>991</v>
      </c>
      <c r="C514" s="33" t="s">
        <v>1971</v>
      </c>
      <c r="D514" s="33" t="s">
        <v>993</v>
      </c>
      <c r="E514" s="33"/>
      <c r="F514" s="33"/>
      <c r="G514" s="33"/>
      <c r="H514" s="33"/>
      <c r="I514" s="33"/>
      <c r="J514" s="33"/>
      <c r="K514" s="33"/>
    </row>
    <row r="515" spans="1:11" ht="15.75">
      <c r="A515" s="33" t="s">
        <v>1972</v>
      </c>
      <c r="B515" s="33" t="s">
        <v>991</v>
      </c>
      <c r="C515" s="33" t="s">
        <v>1973</v>
      </c>
      <c r="D515" s="33" t="s">
        <v>993</v>
      </c>
      <c r="E515" s="33"/>
      <c r="F515" s="33"/>
      <c r="G515" s="33"/>
      <c r="H515" s="33"/>
      <c r="I515" s="33"/>
      <c r="J515" s="33"/>
      <c r="K515" s="33"/>
    </row>
    <row r="516" spans="1:11" ht="15.75">
      <c r="A516" s="33" t="s">
        <v>1974</v>
      </c>
      <c r="B516" s="33" t="s">
        <v>991</v>
      </c>
      <c r="C516" s="33" t="s">
        <v>1975</v>
      </c>
      <c r="D516" s="33" t="s">
        <v>993</v>
      </c>
      <c r="E516" s="33"/>
      <c r="F516" s="33"/>
      <c r="G516" s="33"/>
      <c r="H516" s="33"/>
      <c r="I516" s="33"/>
      <c r="J516" s="33"/>
      <c r="K516" s="33"/>
    </row>
    <row r="517" spans="1:11" ht="15.75">
      <c r="A517" s="33" t="s">
        <v>1976</v>
      </c>
      <c r="B517" s="33" t="s">
        <v>991</v>
      </c>
      <c r="C517" s="33" t="s">
        <v>1977</v>
      </c>
      <c r="D517" s="33" t="s">
        <v>993</v>
      </c>
      <c r="E517" s="33"/>
      <c r="F517" s="33"/>
      <c r="G517" s="33"/>
      <c r="H517" s="33"/>
      <c r="I517" s="33"/>
      <c r="J517" s="33"/>
      <c r="K517" s="33"/>
    </row>
    <row r="518" spans="1:11" ht="15.75">
      <c r="A518" s="33" t="s">
        <v>1978</v>
      </c>
      <c r="B518" s="33" t="s">
        <v>991</v>
      </c>
      <c r="C518" s="33" t="s">
        <v>1979</v>
      </c>
      <c r="D518" s="33" t="s">
        <v>993</v>
      </c>
      <c r="E518" s="33"/>
      <c r="F518" s="33"/>
      <c r="G518" s="33"/>
      <c r="H518" s="33"/>
      <c r="I518" s="33"/>
      <c r="J518" s="33"/>
      <c r="K518" s="33"/>
    </row>
    <row r="519" spans="1:11" ht="15.75">
      <c r="A519" s="33" t="s">
        <v>1980</v>
      </c>
      <c r="B519" s="33" t="s">
        <v>991</v>
      </c>
      <c r="C519" s="33" t="s">
        <v>1981</v>
      </c>
      <c r="D519" s="33" t="s">
        <v>993</v>
      </c>
      <c r="E519" s="33"/>
      <c r="F519" s="33"/>
      <c r="G519" s="33"/>
      <c r="H519" s="33"/>
      <c r="I519" s="33"/>
      <c r="J519" s="33"/>
      <c r="K519" s="33"/>
    </row>
    <row r="520" spans="1:11" ht="15.75">
      <c r="A520" s="33" t="s">
        <v>1982</v>
      </c>
      <c r="B520" s="33" t="s">
        <v>991</v>
      </c>
      <c r="C520" s="33" t="s">
        <v>1983</v>
      </c>
      <c r="D520" s="33" t="s">
        <v>993</v>
      </c>
      <c r="E520" s="33"/>
      <c r="F520" s="33"/>
      <c r="G520" s="33"/>
      <c r="H520" s="33"/>
      <c r="I520" s="33"/>
      <c r="J520" s="33"/>
      <c r="K520" s="33"/>
    </row>
    <row r="521" spans="1:11" ht="15.75">
      <c r="A521" s="33" t="s">
        <v>1984</v>
      </c>
      <c r="B521" s="33" t="s">
        <v>991</v>
      </c>
      <c r="C521" s="33" t="s">
        <v>1985</v>
      </c>
      <c r="D521" s="33" t="s">
        <v>993</v>
      </c>
      <c r="E521" s="33"/>
      <c r="F521" s="33"/>
      <c r="G521" s="33"/>
      <c r="H521" s="33"/>
      <c r="I521" s="33"/>
      <c r="J521" s="33"/>
      <c r="K521" s="33"/>
    </row>
    <row r="522" spans="1:11" ht="15.75">
      <c r="A522" s="33" t="s">
        <v>1986</v>
      </c>
      <c r="B522" s="33" t="s">
        <v>991</v>
      </c>
      <c r="C522" s="33" t="s">
        <v>1987</v>
      </c>
      <c r="D522" s="33" t="s">
        <v>993</v>
      </c>
      <c r="E522" s="33"/>
      <c r="F522" s="33"/>
      <c r="G522" s="33"/>
      <c r="H522" s="33"/>
      <c r="I522" s="33"/>
      <c r="J522" s="33"/>
      <c r="K522" s="33"/>
    </row>
    <row r="523" spans="1:11" ht="15.75">
      <c r="A523" s="33" t="s">
        <v>1988</v>
      </c>
      <c r="B523" s="33" t="s">
        <v>991</v>
      </c>
      <c r="C523" s="33" t="s">
        <v>1989</v>
      </c>
      <c r="D523" s="33" t="s">
        <v>993</v>
      </c>
      <c r="E523" s="33"/>
      <c r="F523" s="33"/>
      <c r="G523" s="33"/>
      <c r="H523" s="33"/>
      <c r="I523" s="33"/>
      <c r="J523" s="33"/>
      <c r="K523" s="33"/>
    </row>
    <row r="524" spans="1:11" ht="15.75">
      <c r="A524" s="33" t="s">
        <v>1990</v>
      </c>
      <c r="B524" s="33" t="s">
        <v>991</v>
      </c>
      <c r="C524" s="33" t="s">
        <v>1991</v>
      </c>
      <c r="D524" s="33" t="s">
        <v>993</v>
      </c>
      <c r="E524" s="33"/>
      <c r="F524" s="33"/>
      <c r="G524" s="33"/>
      <c r="H524" s="33"/>
      <c r="I524" s="33"/>
      <c r="J524" s="33"/>
      <c r="K524" s="33"/>
    </row>
    <row r="525" spans="1:11" ht="15.75">
      <c r="A525" s="33" t="s">
        <v>934</v>
      </c>
      <c r="B525" s="33" t="s">
        <v>991</v>
      </c>
      <c r="C525" s="33" t="s">
        <v>1992</v>
      </c>
      <c r="D525" s="33" t="s">
        <v>1005</v>
      </c>
      <c r="E525" s="33"/>
      <c r="F525" s="33"/>
      <c r="G525" s="33"/>
      <c r="H525" s="33"/>
      <c r="I525" s="33"/>
      <c r="J525" s="33"/>
      <c r="K525" s="33"/>
    </row>
    <row r="526" spans="1:11" ht="15.75">
      <c r="A526" s="33" t="s">
        <v>1993</v>
      </c>
      <c r="B526" s="33" t="s">
        <v>991</v>
      </c>
      <c r="C526" s="33" t="s">
        <v>1994</v>
      </c>
      <c r="D526" s="33" t="s">
        <v>993</v>
      </c>
      <c r="E526" s="33"/>
      <c r="F526" s="33"/>
      <c r="G526" s="33"/>
      <c r="H526" s="33"/>
      <c r="I526" s="33"/>
      <c r="J526" s="33"/>
      <c r="K526" s="33"/>
    </row>
    <row r="527" spans="1:11" ht="15.75">
      <c r="A527" s="33" t="s">
        <v>1995</v>
      </c>
      <c r="B527" s="33" t="s">
        <v>991</v>
      </c>
      <c r="C527" s="33" t="s">
        <v>1996</v>
      </c>
      <c r="D527" s="33" t="s">
        <v>993</v>
      </c>
      <c r="E527" s="33"/>
      <c r="F527" s="33"/>
      <c r="G527" s="33"/>
      <c r="H527" s="33"/>
      <c r="I527" s="33"/>
      <c r="J527" s="33"/>
      <c r="K527" s="33"/>
    </row>
    <row r="528" spans="1:11" ht="15.75">
      <c r="A528" s="33" t="s">
        <v>1997</v>
      </c>
      <c r="B528" s="33" t="s">
        <v>991</v>
      </c>
      <c r="C528" s="33" t="s">
        <v>1998</v>
      </c>
      <c r="D528" s="33" t="s">
        <v>993</v>
      </c>
      <c r="E528" s="33"/>
      <c r="F528" s="33"/>
      <c r="G528" s="33"/>
      <c r="H528" s="33"/>
      <c r="I528" s="33"/>
      <c r="J528" s="33"/>
      <c r="K528" s="33"/>
    </row>
    <row r="529" spans="1:11" ht="15.75">
      <c r="A529" s="33" t="s">
        <v>936</v>
      </c>
      <c r="B529" s="33" t="s">
        <v>991</v>
      </c>
      <c r="C529" s="33" t="s">
        <v>1999</v>
      </c>
      <c r="D529" s="33" t="s">
        <v>1005</v>
      </c>
      <c r="E529" s="33"/>
      <c r="F529" s="33"/>
      <c r="G529" s="33"/>
      <c r="H529" s="33"/>
      <c r="I529" s="33"/>
      <c r="J529" s="33"/>
      <c r="K529" s="33"/>
    </row>
    <row r="530" spans="1:11" ht="15.75">
      <c r="A530" s="33" t="s">
        <v>2000</v>
      </c>
      <c r="B530" s="33" t="s">
        <v>991</v>
      </c>
      <c r="C530" s="33" t="s">
        <v>2001</v>
      </c>
      <c r="D530" s="33" t="s">
        <v>993</v>
      </c>
      <c r="E530" s="33"/>
      <c r="F530" s="33"/>
      <c r="G530" s="33"/>
      <c r="H530" s="33"/>
      <c r="I530" s="33"/>
      <c r="J530" s="33"/>
      <c r="K530" s="33"/>
    </row>
    <row r="531" spans="1:11" ht="15.75">
      <c r="A531" s="33" t="s">
        <v>2002</v>
      </c>
      <c r="B531" s="33" t="s">
        <v>991</v>
      </c>
      <c r="C531" s="33" t="s">
        <v>2003</v>
      </c>
      <c r="D531" s="33" t="s">
        <v>993</v>
      </c>
      <c r="E531" s="33"/>
      <c r="F531" s="33"/>
      <c r="G531" s="33"/>
      <c r="H531" s="33"/>
      <c r="I531" s="33"/>
      <c r="J531" s="33"/>
      <c r="K531" s="33"/>
    </row>
    <row r="532" spans="1:11" ht="15.75">
      <c r="A532" s="33" t="s">
        <v>2004</v>
      </c>
      <c r="B532" s="33" t="s">
        <v>991</v>
      </c>
      <c r="C532" s="33" t="s">
        <v>2005</v>
      </c>
      <c r="D532" s="33" t="s">
        <v>993</v>
      </c>
      <c r="E532" s="33"/>
      <c r="F532" s="33"/>
      <c r="G532" s="33"/>
      <c r="H532" s="33"/>
      <c r="I532" s="33"/>
      <c r="J532" s="33"/>
      <c r="K532" s="33"/>
    </row>
    <row r="533" spans="1:11" ht="15.75">
      <c r="A533" s="33" t="s">
        <v>2006</v>
      </c>
      <c r="B533" s="33" t="s">
        <v>991</v>
      </c>
      <c r="C533" s="33" t="s">
        <v>2007</v>
      </c>
      <c r="D533" s="33" t="s">
        <v>993</v>
      </c>
      <c r="E533" s="33"/>
      <c r="F533" s="33"/>
      <c r="G533" s="33"/>
      <c r="H533" s="33"/>
      <c r="I533" s="33"/>
      <c r="J533" s="33"/>
      <c r="K533" s="33"/>
    </row>
    <row r="534" spans="1:11" ht="15.75">
      <c r="A534" s="33" t="s">
        <v>2008</v>
      </c>
      <c r="B534" s="33" t="s">
        <v>991</v>
      </c>
      <c r="C534" s="33" t="s">
        <v>2009</v>
      </c>
      <c r="D534" s="33" t="s">
        <v>993</v>
      </c>
      <c r="E534" s="33"/>
      <c r="F534" s="33"/>
      <c r="G534" s="33"/>
      <c r="H534" s="33"/>
      <c r="I534" s="33"/>
      <c r="J534" s="33"/>
      <c r="K534" s="33"/>
    </row>
    <row r="535" spans="1:11" ht="15.75">
      <c r="A535" s="33" t="s">
        <v>2010</v>
      </c>
      <c r="B535" s="33" t="s">
        <v>991</v>
      </c>
      <c r="C535" s="33" t="s">
        <v>2011</v>
      </c>
      <c r="D535" s="33" t="s">
        <v>993</v>
      </c>
      <c r="E535" s="33"/>
      <c r="F535" s="33"/>
      <c r="G535" s="33"/>
      <c r="H535" s="33"/>
      <c r="I535" s="33"/>
      <c r="J535" s="33"/>
      <c r="K535" s="33"/>
    </row>
    <row r="536" spans="1:11" ht="15.75">
      <c r="A536" s="33" t="s">
        <v>2012</v>
      </c>
      <c r="B536" s="33" t="s">
        <v>991</v>
      </c>
      <c r="C536" s="33" t="s">
        <v>2013</v>
      </c>
      <c r="D536" s="33" t="s">
        <v>993</v>
      </c>
      <c r="E536" s="33"/>
      <c r="F536" s="33"/>
      <c r="G536" s="33"/>
      <c r="H536" s="33"/>
      <c r="I536" s="33"/>
      <c r="J536" s="33"/>
      <c r="K536" s="33"/>
    </row>
    <row r="537" spans="1:11" ht="15.75">
      <c r="A537" s="33" t="s">
        <v>2014</v>
      </c>
      <c r="B537" s="33" t="s">
        <v>991</v>
      </c>
      <c r="C537" s="33" t="s">
        <v>2015</v>
      </c>
      <c r="D537" s="33" t="s">
        <v>993</v>
      </c>
      <c r="E537" s="33"/>
      <c r="F537" s="33"/>
      <c r="G537" s="33"/>
      <c r="H537" s="33"/>
      <c r="I537" s="33"/>
      <c r="J537" s="33"/>
      <c r="K537" s="33"/>
    </row>
    <row r="538" spans="1:11" ht="15.75">
      <c r="A538" s="33" t="s">
        <v>2016</v>
      </c>
      <c r="B538" s="33" t="s">
        <v>991</v>
      </c>
      <c r="C538" s="33" t="s">
        <v>2017</v>
      </c>
      <c r="D538" s="33" t="s">
        <v>993</v>
      </c>
      <c r="E538" s="33"/>
      <c r="F538" s="33"/>
      <c r="G538" s="33"/>
      <c r="H538" s="33"/>
      <c r="I538" s="33"/>
      <c r="J538" s="33"/>
      <c r="K538" s="33"/>
    </row>
    <row r="539" spans="1:11" ht="15.75">
      <c r="A539" s="33" t="s">
        <v>2018</v>
      </c>
      <c r="B539" s="33" t="s">
        <v>991</v>
      </c>
      <c r="C539" s="33" t="s">
        <v>2019</v>
      </c>
      <c r="D539" s="33" t="s">
        <v>1005</v>
      </c>
      <c r="E539" s="33"/>
      <c r="F539" s="33"/>
      <c r="G539" s="33"/>
      <c r="H539" s="33"/>
      <c r="I539" s="33"/>
      <c r="J539" s="33"/>
      <c r="K539" s="33"/>
    </row>
    <row r="540" spans="1:11" ht="15.75">
      <c r="A540" s="33" t="s">
        <v>2020</v>
      </c>
      <c r="B540" s="33" t="s">
        <v>991</v>
      </c>
      <c r="C540" s="33" t="s">
        <v>2021</v>
      </c>
      <c r="D540" s="33" t="s">
        <v>993</v>
      </c>
      <c r="E540" s="33"/>
      <c r="F540" s="33"/>
      <c r="G540" s="33"/>
      <c r="H540" s="33"/>
      <c r="I540" s="33"/>
      <c r="J540" s="33"/>
      <c r="K540" s="33"/>
    </row>
    <row r="541" spans="1:11" ht="15.75">
      <c r="A541" s="33" t="s">
        <v>2022</v>
      </c>
      <c r="B541" s="33" t="s">
        <v>991</v>
      </c>
      <c r="C541" s="33" t="s">
        <v>2023</v>
      </c>
      <c r="D541" s="33" t="s">
        <v>993</v>
      </c>
      <c r="E541" s="33"/>
      <c r="F541" s="33"/>
      <c r="G541" s="33"/>
      <c r="H541" s="33"/>
      <c r="I541" s="33"/>
      <c r="J541" s="33"/>
      <c r="K541" s="33"/>
    </row>
    <row r="542" spans="1:11" ht="15.75">
      <c r="A542" s="33" t="s">
        <v>2024</v>
      </c>
      <c r="B542" s="33" t="s">
        <v>991</v>
      </c>
      <c r="C542" s="33" t="s">
        <v>2025</v>
      </c>
      <c r="D542" s="33" t="s">
        <v>993</v>
      </c>
      <c r="E542" s="33"/>
      <c r="F542" s="33"/>
      <c r="G542" s="33"/>
      <c r="H542" s="33"/>
      <c r="I542" s="33"/>
      <c r="J542" s="33"/>
      <c r="K542" s="33"/>
    </row>
    <row r="543" spans="1:11" ht="15.75">
      <c r="A543" s="33" t="s">
        <v>2026</v>
      </c>
      <c r="B543" s="33" t="s">
        <v>991</v>
      </c>
      <c r="C543" s="33" t="s">
        <v>2027</v>
      </c>
      <c r="D543" s="33" t="s">
        <v>993</v>
      </c>
      <c r="E543" s="33"/>
      <c r="F543" s="33"/>
      <c r="G543" s="33"/>
      <c r="H543" s="33"/>
      <c r="I543" s="33"/>
      <c r="J543" s="33"/>
      <c r="K543" s="33"/>
    </row>
    <row r="544" spans="1:11" ht="15.75">
      <c r="A544" s="33" t="s">
        <v>2028</v>
      </c>
      <c r="B544" s="33" t="s">
        <v>991</v>
      </c>
      <c r="C544" s="33" t="s">
        <v>2029</v>
      </c>
      <c r="D544" s="33" t="s">
        <v>993</v>
      </c>
      <c r="E544" s="33"/>
      <c r="F544" s="33"/>
      <c r="G544" s="33"/>
      <c r="H544" s="33"/>
      <c r="I544" s="33"/>
      <c r="J544" s="33"/>
      <c r="K544" s="33"/>
    </row>
    <row r="545" spans="1:11" ht="15.75">
      <c r="A545" s="33" t="s">
        <v>2030</v>
      </c>
      <c r="B545" s="33" t="s">
        <v>991</v>
      </c>
      <c r="C545" s="33" t="s">
        <v>2031</v>
      </c>
      <c r="D545" s="33" t="s">
        <v>993</v>
      </c>
      <c r="E545" s="33"/>
      <c r="F545" s="33"/>
      <c r="G545" s="33"/>
      <c r="H545" s="33"/>
      <c r="I545" s="33"/>
      <c r="J545" s="33"/>
      <c r="K545" s="33"/>
    </row>
    <row r="546" spans="1:11" ht="15.75">
      <c r="A546" s="33" t="s">
        <v>2032</v>
      </c>
      <c r="B546" s="33" t="s">
        <v>991</v>
      </c>
      <c r="C546" s="33" t="s">
        <v>2033</v>
      </c>
      <c r="D546" s="33" t="s">
        <v>993</v>
      </c>
      <c r="E546" s="33"/>
      <c r="F546" s="33"/>
      <c r="G546" s="33"/>
      <c r="H546" s="33"/>
      <c r="I546" s="33"/>
      <c r="J546" s="33"/>
      <c r="K546" s="33"/>
    </row>
    <row r="547" spans="1:11" ht="15.75">
      <c r="A547" s="33" t="s">
        <v>935</v>
      </c>
      <c r="B547" s="33" t="s">
        <v>991</v>
      </c>
      <c r="C547" s="33" t="s">
        <v>2034</v>
      </c>
      <c r="D547" s="33" t="s">
        <v>1005</v>
      </c>
      <c r="E547" s="33"/>
      <c r="F547" s="33"/>
      <c r="G547" s="33"/>
      <c r="H547" s="33"/>
      <c r="I547" s="33"/>
      <c r="J547" s="33"/>
      <c r="K547" s="33"/>
    </row>
    <row r="548" spans="1:11" ht="15.75">
      <c r="A548" s="33" t="s">
        <v>2035</v>
      </c>
      <c r="B548" s="33" t="s">
        <v>991</v>
      </c>
      <c r="C548" s="33" t="s">
        <v>2036</v>
      </c>
      <c r="D548" s="33" t="s">
        <v>993</v>
      </c>
      <c r="E548" s="33"/>
      <c r="F548" s="33"/>
      <c r="G548" s="33"/>
      <c r="H548" s="33"/>
      <c r="I548" s="33"/>
      <c r="J548" s="33"/>
      <c r="K548" s="33"/>
    </row>
    <row r="549" spans="1:11" ht="15.75">
      <c r="A549" s="33" t="s">
        <v>2037</v>
      </c>
      <c r="B549" s="33" t="s">
        <v>2038</v>
      </c>
      <c r="C549" s="33" t="s">
        <v>2039</v>
      </c>
      <c r="D549" s="33"/>
      <c r="E549" s="33"/>
      <c r="F549" s="33"/>
      <c r="G549" s="33"/>
      <c r="H549" s="33"/>
      <c r="I549" s="33"/>
      <c r="J549" s="33"/>
      <c r="K549" s="33"/>
    </row>
    <row r="550" spans="1:11" ht="15.75">
      <c r="A550" s="33" t="s">
        <v>2040</v>
      </c>
      <c r="B550" s="33" t="s">
        <v>2038</v>
      </c>
      <c r="C550" s="33" t="s">
        <v>2041</v>
      </c>
      <c r="D550" s="33"/>
      <c r="E550" s="33"/>
      <c r="F550" s="33"/>
      <c r="G550" s="33"/>
      <c r="H550" s="33"/>
      <c r="I550" s="33"/>
      <c r="J550" s="33"/>
      <c r="K550" s="33"/>
    </row>
    <row r="551" spans="1:11" ht="15.75">
      <c r="A551" s="33" t="s">
        <v>2042</v>
      </c>
      <c r="B551" s="33" t="s">
        <v>2038</v>
      </c>
      <c r="C551" s="33" t="s">
        <v>2043</v>
      </c>
      <c r="D551" s="33"/>
      <c r="E551" s="33"/>
      <c r="F551" s="33"/>
      <c r="G551" s="33"/>
      <c r="H551" s="33"/>
      <c r="I551" s="33"/>
      <c r="J551" s="33"/>
      <c r="K551" s="33"/>
    </row>
    <row r="552" spans="1:11" ht="15.75">
      <c r="A552" s="33" t="s">
        <v>2044</v>
      </c>
      <c r="B552" s="33" t="s">
        <v>2038</v>
      </c>
      <c r="C552" s="33" t="s">
        <v>2045</v>
      </c>
      <c r="D552" s="33"/>
      <c r="E552" s="33"/>
      <c r="F552" s="33"/>
      <c r="G552" s="33"/>
      <c r="H552" s="33"/>
      <c r="I552" s="33"/>
      <c r="J552" s="33"/>
      <c r="K552" s="33"/>
    </row>
    <row r="553" spans="1:11" ht="15.75">
      <c r="A553" s="33" t="s">
        <v>2046</v>
      </c>
      <c r="B553" s="33" t="s">
        <v>2038</v>
      </c>
      <c r="C553" s="33" t="s">
        <v>2047</v>
      </c>
      <c r="D553" s="33"/>
      <c r="E553" s="33"/>
      <c r="F553" s="33"/>
      <c r="G553" s="33"/>
      <c r="H553" s="33"/>
      <c r="I553" s="33"/>
      <c r="J553" s="33"/>
      <c r="K553" s="33"/>
    </row>
    <row r="554" spans="1:11" ht="15.75">
      <c r="A554" s="33" t="s">
        <v>2048</v>
      </c>
      <c r="B554" s="33" t="s">
        <v>2038</v>
      </c>
      <c r="C554" s="33" t="s">
        <v>2049</v>
      </c>
      <c r="D554" s="33"/>
      <c r="E554" s="33"/>
      <c r="F554" s="33"/>
      <c r="G554" s="33"/>
      <c r="H554" s="33"/>
      <c r="I554" s="33"/>
      <c r="J554" s="33"/>
      <c r="K554" s="33"/>
    </row>
    <row r="555" spans="1:11" ht="15.75">
      <c r="A555" s="33" t="s">
        <v>2050</v>
      </c>
      <c r="B555" s="33" t="s">
        <v>2038</v>
      </c>
      <c r="C555" s="33" t="s">
        <v>2051</v>
      </c>
      <c r="D555" s="33"/>
      <c r="E555" s="33"/>
      <c r="F555" s="33"/>
      <c r="G555" s="33"/>
      <c r="H555" s="33"/>
      <c r="I555" s="33"/>
      <c r="J555" s="33"/>
      <c r="K555" s="33"/>
    </row>
    <row r="556" spans="1:11" ht="15.75">
      <c r="A556" s="33" t="s">
        <v>2052</v>
      </c>
      <c r="B556" s="33" t="s">
        <v>2038</v>
      </c>
      <c r="C556" s="33" t="s">
        <v>2053</v>
      </c>
      <c r="D556" s="33"/>
      <c r="E556" s="33"/>
      <c r="F556" s="33"/>
      <c r="G556" s="33"/>
      <c r="H556" s="33"/>
      <c r="I556" s="33"/>
      <c r="J556" s="33"/>
      <c r="K556" s="33"/>
    </row>
    <row r="557" spans="1:11" ht="15.75">
      <c r="A557" s="33" t="s">
        <v>2054</v>
      </c>
      <c r="B557" s="33" t="s">
        <v>2038</v>
      </c>
      <c r="C557" s="33" t="s">
        <v>2055</v>
      </c>
      <c r="D557" s="33"/>
      <c r="E557" s="33"/>
      <c r="F557" s="33"/>
      <c r="G557" s="33"/>
      <c r="H557" s="33"/>
      <c r="I557" s="33"/>
      <c r="J557" s="33"/>
      <c r="K557" s="33"/>
    </row>
    <row r="558" spans="1:11" ht="15.75">
      <c r="A558" s="33" t="s">
        <v>2056</v>
      </c>
      <c r="B558" s="33" t="s">
        <v>2038</v>
      </c>
      <c r="C558" s="33" t="s">
        <v>2057</v>
      </c>
      <c r="D558" s="33"/>
      <c r="E558" s="33"/>
      <c r="F558" s="33"/>
      <c r="G558" s="33"/>
      <c r="H558" s="33"/>
      <c r="I558" s="33"/>
      <c r="J558" s="33"/>
      <c r="K558" s="33"/>
    </row>
    <row r="559" spans="1:11" ht="15.75">
      <c r="A559" s="33" t="s">
        <v>2058</v>
      </c>
      <c r="B559" s="33" t="s">
        <v>2059</v>
      </c>
      <c r="C559" s="33" t="s">
        <v>2049</v>
      </c>
      <c r="D559" s="33"/>
      <c r="E559" s="33"/>
      <c r="F559" s="33"/>
      <c r="G559" s="33"/>
      <c r="H559" s="33"/>
      <c r="I559" s="33"/>
      <c r="J559" s="33"/>
      <c r="K559" s="33"/>
    </row>
    <row r="560" spans="1:11" ht="15.75">
      <c r="A560" s="33" t="s">
        <v>2060</v>
      </c>
      <c r="B560" s="33" t="s">
        <v>2059</v>
      </c>
      <c r="C560" s="33" t="s">
        <v>2053</v>
      </c>
      <c r="D560" s="33"/>
      <c r="E560" s="33"/>
      <c r="F560" s="33"/>
      <c r="G560" s="33"/>
      <c r="H560" s="33"/>
      <c r="I560" s="33"/>
      <c r="J560" s="33"/>
      <c r="K560" s="33"/>
    </row>
    <row r="561" spans="1:11" ht="15.75">
      <c r="A561" s="33" t="s">
        <v>2061</v>
      </c>
      <c r="B561" s="33" t="s">
        <v>2059</v>
      </c>
      <c r="C561" s="33" t="s">
        <v>2041</v>
      </c>
      <c r="D561" s="33"/>
      <c r="E561" s="33"/>
      <c r="F561" s="33"/>
      <c r="G561" s="33"/>
      <c r="H561" s="33"/>
      <c r="I561" s="33"/>
      <c r="J561" s="33"/>
      <c r="K561" s="33"/>
    </row>
    <row r="562" spans="1:11" ht="15.75">
      <c r="A562" s="33" t="s">
        <v>2062</v>
      </c>
      <c r="B562" s="33" t="s">
        <v>2059</v>
      </c>
      <c r="C562" s="33" t="s">
        <v>2047</v>
      </c>
      <c r="D562" s="33"/>
      <c r="E562" s="33"/>
      <c r="F562" s="33"/>
      <c r="G562" s="33"/>
      <c r="H562" s="33"/>
      <c r="I562" s="33"/>
      <c r="J562" s="33"/>
      <c r="K562" s="33"/>
    </row>
    <row r="563" spans="1:11" ht="15.75">
      <c r="A563" s="33" t="s">
        <v>2063</v>
      </c>
      <c r="B563" s="33" t="s">
        <v>2059</v>
      </c>
      <c r="C563" s="33" t="s">
        <v>2039</v>
      </c>
      <c r="D563" s="33"/>
      <c r="E563" s="33"/>
      <c r="F563" s="33"/>
      <c r="G563" s="33"/>
      <c r="H563" s="33"/>
      <c r="I563" s="33"/>
      <c r="J563" s="33"/>
      <c r="K563" s="33"/>
    </row>
    <row r="564" spans="1:11" ht="15.75">
      <c r="A564" s="33" t="s">
        <v>2064</v>
      </c>
      <c r="B564" s="33" t="s">
        <v>2059</v>
      </c>
      <c r="C564" s="33" t="s">
        <v>2065</v>
      </c>
      <c r="D564" s="33"/>
      <c r="E564" s="33"/>
      <c r="F564" s="33"/>
      <c r="G564" s="33"/>
      <c r="H564" s="33"/>
      <c r="I564" s="33"/>
      <c r="J564" s="33"/>
      <c r="K564" s="33"/>
    </row>
    <row r="565" spans="1:11" ht="15.75">
      <c r="A565" s="33" t="s">
        <v>2066</v>
      </c>
      <c r="B565" s="33" t="s">
        <v>2059</v>
      </c>
      <c r="C565" s="33" t="s">
        <v>2043</v>
      </c>
      <c r="D565" s="33"/>
      <c r="E565" s="33"/>
      <c r="F565" s="33"/>
      <c r="G565" s="33"/>
      <c r="H565" s="33"/>
      <c r="I565" s="33"/>
      <c r="J565" s="33"/>
      <c r="K565" s="33"/>
    </row>
    <row r="566" spans="1:11" ht="15.75">
      <c r="A566" s="33" t="s">
        <v>2067</v>
      </c>
      <c r="B566" s="33" t="s">
        <v>2059</v>
      </c>
      <c r="C566" s="33" t="s">
        <v>2051</v>
      </c>
      <c r="D566" s="33"/>
      <c r="E566" s="33"/>
      <c r="F566" s="33"/>
      <c r="G566" s="33"/>
      <c r="H566" s="33"/>
      <c r="I566" s="33"/>
      <c r="J566" s="33"/>
      <c r="K566" s="33"/>
    </row>
    <row r="567" spans="1:11" ht="15.75">
      <c r="A567" s="33" t="s">
        <v>2068</v>
      </c>
      <c r="B567" s="33" t="s">
        <v>2059</v>
      </c>
      <c r="C567" s="33" t="s">
        <v>2057</v>
      </c>
      <c r="D567" s="33"/>
      <c r="E567" s="33"/>
      <c r="F567" s="33"/>
      <c r="G567" s="33"/>
      <c r="H567" s="33"/>
      <c r="I567" s="33"/>
      <c r="J567" s="33"/>
      <c r="K567" s="33"/>
    </row>
    <row r="568" spans="1:11" ht="15.75">
      <c r="A568" s="33" t="s">
        <v>2069</v>
      </c>
      <c r="B568" s="33" t="s">
        <v>2059</v>
      </c>
      <c r="C568" s="33" t="s">
        <v>2045</v>
      </c>
      <c r="D568" s="33"/>
      <c r="E568" s="33"/>
      <c r="F568" s="33"/>
      <c r="G568" s="33"/>
      <c r="H568" s="33"/>
      <c r="I568" s="33"/>
      <c r="J568" s="33"/>
      <c r="K568" s="33"/>
    </row>
    <row r="569" spans="1:11" ht="15.75">
      <c r="A569" s="33" t="s">
        <v>2070</v>
      </c>
      <c r="B569" s="33" t="s">
        <v>2071</v>
      </c>
      <c r="C569" s="33" t="s">
        <v>2072</v>
      </c>
      <c r="D569" s="33"/>
      <c r="E569" s="33"/>
      <c r="F569" s="33"/>
      <c r="G569" s="33"/>
      <c r="H569" s="33"/>
      <c r="I569" s="33"/>
      <c r="J569" s="33"/>
      <c r="K569" s="33"/>
    </row>
    <row r="570" spans="1:11" ht="15.75">
      <c r="A570" s="33" t="s">
        <v>2073</v>
      </c>
      <c r="B570" s="33" t="s">
        <v>2074</v>
      </c>
      <c r="C570" s="33" t="s">
        <v>2072</v>
      </c>
      <c r="D570" s="33"/>
      <c r="E570" s="33"/>
      <c r="F570" s="33"/>
      <c r="G570" s="33"/>
      <c r="H570" s="33"/>
      <c r="I570" s="33"/>
      <c r="J570" s="33"/>
      <c r="K570" s="33"/>
    </row>
    <row r="571" spans="1:11" ht="15.75">
      <c r="A571" s="33" t="s">
        <v>2075</v>
      </c>
      <c r="B571" s="33" t="s">
        <v>2076</v>
      </c>
      <c r="C571" s="33" t="s">
        <v>41</v>
      </c>
      <c r="D571" s="33"/>
      <c r="E571" s="33"/>
      <c r="F571" s="33"/>
      <c r="G571" s="33"/>
      <c r="H571" s="33"/>
      <c r="I571" s="33"/>
      <c r="J571" s="33"/>
      <c r="K571" s="33"/>
    </row>
    <row r="572" spans="1:11" ht="15.75">
      <c r="A572" s="33" t="s">
        <v>2077</v>
      </c>
      <c r="B572" s="33" t="s">
        <v>2076</v>
      </c>
      <c r="C572" s="33" t="s">
        <v>385</v>
      </c>
      <c r="D572" s="33"/>
      <c r="E572" s="33"/>
      <c r="F572" s="33"/>
      <c r="G572" s="33"/>
      <c r="H572" s="33"/>
      <c r="I572" s="33"/>
      <c r="J572" s="33"/>
      <c r="K572" s="33"/>
    </row>
    <row r="573" spans="1:11" ht="15.75">
      <c r="A573" s="33" t="s">
        <v>2078</v>
      </c>
      <c r="B573" s="33" t="s">
        <v>2076</v>
      </c>
      <c r="C573" s="33" t="s">
        <v>2079</v>
      </c>
      <c r="D573" s="33"/>
      <c r="E573" s="33"/>
      <c r="F573" s="33"/>
      <c r="G573" s="33"/>
      <c r="H573" s="33"/>
      <c r="I573" s="33"/>
      <c r="J573" s="33"/>
      <c r="K573" s="33"/>
    </row>
    <row r="574" spans="1:11" ht="15.75">
      <c r="A574" s="33" t="s">
        <v>2080</v>
      </c>
      <c r="B574" s="33" t="s">
        <v>2076</v>
      </c>
      <c r="C574" s="33" t="s">
        <v>643</v>
      </c>
      <c r="D574" s="33"/>
      <c r="E574" s="33"/>
      <c r="F574" s="33"/>
      <c r="G574" s="33"/>
      <c r="H574" s="33"/>
      <c r="I574" s="33"/>
      <c r="J574" s="33"/>
      <c r="K574" s="33"/>
    </row>
    <row r="575" spans="1:11" ht="15.75">
      <c r="A575" s="33" t="s">
        <v>2081</v>
      </c>
      <c r="B575" s="33" t="s">
        <v>2076</v>
      </c>
      <c r="C575" s="33" t="s">
        <v>2082</v>
      </c>
      <c r="D575" s="33"/>
      <c r="E575" s="33"/>
      <c r="F575" s="33"/>
      <c r="G575" s="33"/>
      <c r="H575" s="33"/>
      <c r="I575" s="33"/>
      <c r="J575" s="33"/>
      <c r="K575" s="33"/>
    </row>
    <row r="576" spans="1:11" ht="15.75">
      <c r="A576" s="33" t="s">
        <v>2083</v>
      </c>
      <c r="B576" s="33" t="s">
        <v>2076</v>
      </c>
      <c r="C576" s="33" t="s">
        <v>92</v>
      </c>
      <c r="D576" s="33"/>
      <c r="E576" s="33"/>
      <c r="F576" s="33"/>
      <c r="G576" s="33"/>
      <c r="H576" s="33"/>
      <c r="I576" s="33"/>
      <c r="J576" s="33"/>
      <c r="K576" s="33"/>
    </row>
    <row r="577" spans="1:11" ht="15.75">
      <c r="A577" s="33" t="s">
        <v>2084</v>
      </c>
      <c r="B577" s="33" t="s">
        <v>2076</v>
      </c>
      <c r="C577" s="33" t="s">
        <v>2085</v>
      </c>
      <c r="D577" s="33"/>
      <c r="E577" s="33"/>
      <c r="F577" s="33"/>
      <c r="G577" s="33"/>
      <c r="H577" s="33"/>
      <c r="I577" s="33"/>
      <c r="J577" s="33"/>
      <c r="K577" s="33"/>
    </row>
    <row r="578" spans="1:11" ht="15.75">
      <c r="A578" s="33" t="s">
        <v>2086</v>
      </c>
      <c r="B578" s="33" t="s">
        <v>2076</v>
      </c>
      <c r="C578" s="33" t="s">
        <v>118</v>
      </c>
      <c r="D578" s="33"/>
      <c r="E578" s="33"/>
      <c r="F578" s="33"/>
      <c r="G578" s="33"/>
      <c r="H578" s="33"/>
      <c r="I578" s="33"/>
      <c r="J578" s="33"/>
      <c r="K578" s="33"/>
    </row>
    <row r="579" spans="1:11" ht="15.75">
      <c r="A579" s="33" t="s">
        <v>2087</v>
      </c>
      <c r="B579" s="33" t="s">
        <v>2076</v>
      </c>
      <c r="C579" s="33" t="s">
        <v>802</v>
      </c>
      <c r="D579" s="33"/>
      <c r="E579" s="33"/>
      <c r="F579" s="33"/>
      <c r="G579" s="33"/>
      <c r="H579" s="33"/>
      <c r="I579" s="33"/>
      <c r="J579" s="33"/>
      <c r="K579" s="33"/>
    </row>
    <row r="580" spans="1:11" ht="15.75">
      <c r="A580" s="33" t="s">
        <v>2088</v>
      </c>
      <c r="B580" s="33" t="s">
        <v>2076</v>
      </c>
      <c r="C580" s="33" t="s">
        <v>460</v>
      </c>
      <c r="D580" s="33"/>
      <c r="E580" s="33"/>
      <c r="F580" s="33"/>
      <c r="G580" s="33"/>
      <c r="H580" s="33"/>
      <c r="I580" s="33"/>
      <c r="J580" s="33"/>
      <c r="K580" s="33"/>
    </row>
    <row r="581" spans="1:11" ht="15.75">
      <c r="A581" s="33" t="s">
        <v>2089</v>
      </c>
      <c r="B581" s="33" t="s">
        <v>2076</v>
      </c>
      <c r="C581" s="33" t="s">
        <v>126</v>
      </c>
      <c r="D581" s="33"/>
      <c r="E581" s="33"/>
      <c r="F581" s="33"/>
      <c r="G581" s="33"/>
      <c r="H581" s="33"/>
      <c r="I581" s="33"/>
      <c r="J581" s="33"/>
      <c r="K581" s="33"/>
    </row>
    <row r="582" spans="1:11" ht="15.75">
      <c r="A582" s="33" t="s">
        <v>2090</v>
      </c>
      <c r="B582" s="33" t="s">
        <v>2076</v>
      </c>
      <c r="C582" s="33" t="s">
        <v>682</v>
      </c>
      <c r="D582" s="33"/>
      <c r="E582" s="33"/>
      <c r="F582" s="33"/>
      <c r="G582" s="33"/>
      <c r="H582" s="33"/>
      <c r="I582" s="33"/>
      <c r="J582" s="33"/>
      <c r="K582" s="33"/>
    </row>
    <row r="583" spans="1:11" ht="15.75">
      <c r="A583" s="33" t="s">
        <v>2091</v>
      </c>
      <c r="B583" s="33" t="s">
        <v>2076</v>
      </c>
      <c r="C583" s="33" t="s">
        <v>844</v>
      </c>
      <c r="D583" s="33"/>
      <c r="E583" s="33"/>
      <c r="F583" s="33"/>
      <c r="G583" s="33"/>
      <c r="H583" s="33"/>
      <c r="I583" s="33"/>
      <c r="J583" s="33"/>
      <c r="K583" s="33"/>
    </row>
    <row r="584" spans="1:11" ht="15.75">
      <c r="A584" s="33" t="s">
        <v>2092</v>
      </c>
      <c r="B584" s="33" t="s">
        <v>2076</v>
      </c>
      <c r="C584" s="33" t="s">
        <v>793</v>
      </c>
      <c r="D584" s="33"/>
      <c r="E584" s="33"/>
      <c r="F584" s="33"/>
      <c r="G584" s="33"/>
      <c r="H584" s="33"/>
      <c r="I584" s="33"/>
      <c r="J584" s="33"/>
      <c r="K584" s="33"/>
    </row>
    <row r="585" spans="1:11" ht="15.75">
      <c r="A585" s="33" t="s">
        <v>2093</v>
      </c>
      <c r="B585" s="33" t="s">
        <v>2076</v>
      </c>
      <c r="C585" s="33" t="s">
        <v>832</v>
      </c>
      <c r="D585" s="33"/>
      <c r="E585" s="33"/>
      <c r="F585" s="33"/>
      <c r="G585" s="33"/>
      <c r="H585" s="33"/>
      <c r="I585" s="33"/>
      <c r="J585" s="33"/>
      <c r="K585" s="33"/>
    </row>
    <row r="586" spans="1:11" ht="15.75">
      <c r="A586" s="33" t="s">
        <v>2094</v>
      </c>
      <c r="B586" s="33" t="s">
        <v>2076</v>
      </c>
      <c r="C586" s="33" t="s">
        <v>397</v>
      </c>
      <c r="D586" s="33"/>
      <c r="E586" s="33"/>
      <c r="F586" s="33"/>
      <c r="G586" s="33"/>
      <c r="H586" s="33"/>
      <c r="I586" s="33"/>
      <c r="J586" s="33"/>
      <c r="K586" s="33"/>
    </row>
    <row r="587" spans="1:11" ht="15.75">
      <c r="A587" s="33" t="s">
        <v>2095</v>
      </c>
      <c r="B587" s="33" t="s">
        <v>2076</v>
      </c>
      <c r="C587" s="33" t="s">
        <v>601</v>
      </c>
      <c r="D587" s="33"/>
      <c r="E587" s="33"/>
      <c r="F587" s="33"/>
      <c r="G587" s="33"/>
      <c r="H587" s="33"/>
      <c r="I587" s="33"/>
      <c r="J587" s="33"/>
      <c r="K587" s="33"/>
    </row>
    <row r="588" spans="1:11" ht="15.75">
      <c r="A588" s="33" t="s">
        <v>2096</v>
      </c>
      <c r="B588" s="33" t="s">
        <v>2076</v>
      </c>
      <c r="C588" s="33" t="s">
        <v>179</v>
      </c>
      <c r="D588" s="33"/>
      <c r="E588" s="33"/>
      <c r="F588" s="33"/>
      <c r="G588" s="33"/>
      <c r="H588" s="33"/>
      <c r="I588" s="33"/>
      <c r="J588" s="33"/>
      <c r="K588" s="33"/>
    </row>
    <row r="589" spans="1:11" ht="15.75">
      <c r="A589" s="33" t="s">
        <v>2097</v>
      </c>
      <c r="B589" s="33" t="s">
        <v>2076</v>
      </c>
      <c r="C589" s="33" t="s">
        <v>598</v>
      </c>
      <c r="D589" s="33"/>
      <c r="E589" s="33"/>
      <c r="F589" s="33"/>
      <c r="G589" s="33"/>
      <c r="H589" s="33"/>
      <c r="I589" s="33"/>
      <c r="J589" s="33"/>
      <c r="K589" s="33"/>
    </row>
    <row r="590" spans="1:11" ht="15.75">
      <c r="A590" s="33" t="s">
        <v>2098</v>
      </c>
      <c r="B590" s="33" t="s">
        <v>2076</v>
      </c>
      <c r="C590" s="33" t="s">
        <v>727</v>
      </c>
      <c r="D590" s="33"/>
      <c r="E590" s="33"/>
      <c r="F590" s="33"/>
      <c r="G590" s="33"/>
      <c r="H590" s="33"/>
      <c r="I590" s="33"/>
      <c r="J590" s="33"/>
      <c r="K590" s="33"/>
    </row>
    <row r="591" spans="1:11" ht="15.75">
      <c r="A591" s="33" t="s">
        <v>2099</v>
      </c>
      <c r="B591" s="33" t="s">
        <v>2076</v>
      </c>
      <c r="C591" s="33" t="s">
        <v>574</v>
      </c>
      <c r="D591" s="33"/>
      <c r="E591" s="33"/>
      <c r="F591" s="33"/>
      <c r="G591" s="33"/>
      <c r="H591" s="33"/>
      <c r="I591" s="33"/>
      <c r="J591" s="33"/>
      <c r="K591" s="33"/>
    </row>
    <row r="592" spans="1:11" ht="15.75">
      <c r="A592" s="33" t="s">
        <v>2100</v>
      </c>
      <c r="B592" s="33" t="s">
        <v>2076</v>
      </c>
      <c r="C592" s="33" t="s">
        <v>2101</v>
      </c>
      <c r="D592" s="33"/>
      <c r="E592" s="33"/>
      <c r="F592" s="33"/>
      <c r="G592" s="33"/>
      <c r="H592" s="33"/>
      <c r="I592" s="33"/>
      <c r="J592" s="33"/>
      <c r="K592" s="33"/>
    </row>
    <row r="593" spans="1:11" ht="15.75">
      <c r="A593" s="33" t="s">
        <v>2102</v>
      </c>
      <c r="B593" s="33" t="s">
        <v>2076</v>
      </c>
      <c r="C593" s="33" t="s">
        <v>631</v>
      </c>
      <c r="D593" s="33"/>
      <c r="E593" s="33"/>
      <c r="F593" s="33"/>
      <c r="G593" s="33"/>
      <c r="H593" s="33"/>
      <c r="I593" s="33"/>
      <c r="J593" s="33"/>
      <c r="K593" s="33"/>
    </row>
    <row r="594" spans="1:11" ht="15.75">
      <c r="A594" s="33" t="s">
        <v>2103</v>
      </c>
      <c r="B594" s="33" t="s">
        <v>2076</v>
      </c>
      <c r="C594" s="33" t="s">
        <v>454</v>
      </c>
      <c r="D594" s="33"/>
      <c r="E594" s="33"/>
      <c r="F594" s="33"/>
      <c r="G594" s="33"/>
      <c r="H594" s="33"/>
      <c r="I594" s="33"/>
      <c r="J594" s="33"/>
      <c r="K594" s="33"/>
    </row>
    <row r="595" spans="1:11" ht="15.75">
      <c r="A595" s="33" t="s">
        <v>2104</v>
      </c>
      <c r="B595" s="33" t="s">
        <v>2076</v>
      </c>
      <c r="C595" s="33" t="s">
        <v>894</v>
      </c>
      <c r="D595" s="33"/>
      <c r="E595" s="33"/>
      <c r="F595" s="33"/>
      <c r="G595" s="33"/>
      <c r="H595" s="33"/>
      <c r="I595" s="33"/>
      <c r="J595" s="33"/>
      <c r="K595" s="33"/>
    </row>
    <row r="596" spans="1:11" ht="15.75">
      <c r="A596" s="33" t="s">
        <v>2105</v>
      </c>
      <c r="B596" s="33" t="s">
        <v>2076</v>
      </c>
      <c r="C596" s="33" t="s">
        <v>757</v>
      </c>
      <c r="D596" s="33"/>
      <c r="E596" s="33"/>
      <c r="F596" s="33"/>
      <c r="G596" s="33"/>
      <c r="H596" s="33"/>
      <c r="I596" s="33"/>
      <c r="J596" s="33"/>
      <c r="K596" s="33"/>
    </row>
    <row r="597" spans="1:11" ht="15.75">
      <c r="A597" s="33" t="s">
        <v>2106</v>
      </c>
      <c r="B597" s="33" t="s">
        <v>2076</v>
      </c>
      <c r="C597" s="33" t="s">
        <v>2107</v>
      </c>
      <c r="D597" s="33"/>
      <c r="E597" s="33"/>
      <c r="F597" s="33"/>
      <c r="G597" s="33"/>
      <c r="H597" s="33"/>
      <c r="I597" s="33"/>
      <c r="J597" s="33"/>
      <c r="K597" s="33"/>
    </row>
    <row r="598" spans="1:11" ht="15.75">
      <c r="A598" s="33" t="s">
        <v>2108</v>
      </c>
      <c r="B598" s="33" t="s">
        <v>2076</v>
      </c>
      <c r="C598" s="33" t="s">
        <v>628</v>
      </c>
      <c r="D598" s="33"/>
      <c r="E598" s="33"/>
      <c r="F598" s="33"/>
      <c r="G598" s="33"/>
      <c r="H598" s="33"/>
      <c r="I598" s="33"/>
      <c r="J598" s="33"/>
      <c r="K598" s="33"/>
    </row>
    <row r="599" spans="1:11" ht="15.75">
      <c r="A599" s="33" t="s">
        <v>2109</v>
      </c>
      <c r="B599" s="33" t="s">
        <v>2076</v>
      </c>
      <c r="C599" s="33" t="s">
        <v>171</v>
      </c>
      <c r="D599" s="33"/>
      <c r="E599" s="33"/>
      <c r="F599" s="33"/>
      <c r="G599" s="33"/>
      <c r="H599" s="33"/>
      <c r="I599" s="33"/>
      <c r="J599" s="33"/>
      <c r="K599" s="33"/>
    </row>
    <row r="600" spans="1:11" ht="15.75">
      <c r="A600" s="33" t="s">
        <v>2110</v>
      </c>
      <c r="B600" s="33" t="s">
        <v>2076</v>
      </c>
      <c r="C600" s="33" t="s">
        <v>838</v>
      </c>
      <c r="D600" s="33"/>
      <c r="E600" s="33"/>
      <c r="F600" s="33"/>
      <c r="G600" s="33"/>
      <c r="H600" s="33"/>
      <c r="I600" s="33"/>
      <c r="J600" s="33"/>
      <c r="K600" s="33"/>
    </row>
    <row r="601" spans="1:11" ht="15.75">
      <c r="A601" s="33" t="s">
        <v>2111</v>
      </c>
      <c r="B601" s="33" t="s">
        <v>2076</v>
      </c>
      <c r="C601" s="33" t="s">
        <v>520</v>
      </c>
      <c r="D601" s="33"/>
      <c r="E601" s="33"/>
      <c r="F601" s="33"/>
      <c r="G601" s="33"/>
      <c r="H601" s="33"/>
      <c r="I601" s="33"/>
      <c r="J601" s="33"/>
      <c r="K601" s="33"/>
    </row>
    <row r="602" spans="1:11" ht="15.75">
      <c r="A602" s="33" t="s">
        <v>2112</v>
      </c>
      <c r="B602" s="33" t="s">
        <v>2076</v>
      </c>
      <c r="C602" s="33" t="s">
        <v>463</v>
      </c>
      <c r="D602" s="33"/>
      <c r="E602" s="33"/>
      <c r="F602" s="33"/>
      <c r="G602" s="33"/>
      <c r="H602" s="33"/>
      <c r="I602" s="33"/>
      <c r="J602" s="33"/>
      <c r="K602" s="33"/>
    </row>
    <row r="603" spans="1:11" ht="15.75">
      <c r="A603" s="33" t="s">
        <v>2113</v>
      </c>
      <c r="B603" s="33" t="s">
        <v>2076</v>
      </c>
      <c r="C603" s="33" t="s">
        <v>421</v>
      </c>
      <c r="D603" s="33"/>
      <c r="E603" s="33"/>
      <c r="F603" s="33"/>
      <c r="G603" s="33"/>
      <c r="H603" s="33"/>
      <c r="I603" s="33"/>
      <c r="J603" s="33"/>
      <c r="K603" s="33"/>
    </row>
    <row r="604" spans="1:11" ht="15.75">
      <c r="A604" s="33" t="s">
        <v>2114</v>
      </c>
      <c r="B604" s="33" t="s">
        <v>2076</v>
      </c>
      <c r="C604" s="33" t="s">
        <v>211</v>
      </c>
      <c r="D604" s="33"/>
      <c r="E604" s="33"/>
      <c r="F604" s="33"/>
      <c r="G604" s="33"/>
      <c r="H604" s="33"/>
      <c r="I604" s="33"/>
      <c r="J604" s="33"/>
      <c r="K604" s="33"/>
    </row>
    <row r="605" spans="1:11" ht="15.75">
      <c r="A605" s="33" t="s">
        <v>2115</v>
      </c>
      <c r="B605" s="33" t="s">
        <v>2076</v>
      </c>
      <c r="C605" s="33" t="s">
        <v>874</v>
      </c>
      <c r="D605" s="33"/>
      <c r="E605" s="33"/>
      <c r="F605" s="33"/>
      <c r="G605" s="33"/>
      <c r="H605" s="33"/>
      <c r="I605" s="33"/>
      <c r="J605" s="33"/>
      <c r="K605" s="33"/>
    </row>
    <row r="606" spans="1:11" ht="15.75">
      <c r="A606" s="33" t="s">
        <v>2116</v>
      </c>
      <c r="B606" s="33" t="s">
        <v>2076</v>
      </c>
      <c r="C606" s="33" t="s">
        <v>670</v>
      </c>
      <c r="D606" s="33"/>
      <c r="E606" s="33"/>
      <c r="F606" s="33"/>
      <c r="G606" s="33"/>
      <c r="H606" s="33"/>
      <c r="I606" s="33"/>
      <c r="J606" s="33"/>
      <c r="K606" s="33"/>
    </row>
    <row r="607" spans="1:11" ht="15.75">
      <c r="A607" s="33" t="s">
        <v>2117</v>
      </c>
      <c r="B607" s="33" t="s">
        <v>2076</v>
      </c>
      <c r="C607" s="33" t="s">
        <v>613</v>
      </c>
      <c r="D607" s="33"/>
      <c r="E607" s="33"/>
      <c r="F607" s="33"/>
      <c r="G607" s="33"/>
      <c r="H607" s="33"/>
      <c r="I607" s="33"/>
      <c r="J607" s="33"/>
      <c r="K607" s="33"/>
    </row>
    <row r="608" spans="1:11" ht="15.75">
      <c r="A608" s="33" t="s">
        <v>2118</v>
      </c>
      <c r="B608" s="33" t="s">
        <v>2076</v>
      </c>
      <c r="C608" s="33" t="s">
        <v>577</v>
      </c>
      <c r="D608" s="33"/>
      <c r="E608" s="33"/>
      <c r="F608" s="33"/>
      <c r="G608" s="33"/>
      <c r="H608" s="33"/>
      <c r="I608" s="33"/>
      <c r="J608" s="33"/>
      <c r="K608" s="33"/>
    </row>
    <row r="609" spans="1:11" ht="15.75">
      <c r="A609" s="33" t="s">
        <v>2119</v>
      </c>
      <c r="B609" s="33" t="s">
        <v>2076</v>
      </c>
      <c r="C609" s="33" t="s">
        <v>263</v>
      </c>
      <c r="D609" s="33"/>
      <c r="E609" s="33"/>
      <c r="F609" s="33"/>
      <c r="G609" s="33"/>
      <c r="H609" s="33"/>
      <c r="I609" s="33"/>
      <c r="J609" s="33"/>
      <c r="K609" s="33"/>
    </row>
    <row r="610" spans="1:11" ht="15.75">
      <c r="A610" s="33" t="s">
        <v>2120</v>
      </c>
      <c r="B610" s="33" t="s">
        <v>2076</v>
      </c>
      <c r="C610" s="33" t="s">
        <v>2121</v>
      </c>
      <c r="D610" s="33"/>
      <c r="E610" s="33"/>
      <c r="F610" s="33"/>
      <c r="G610" s="33"/>
      <c r="H610" s="33"/>
      <c r="I610" s="33"/>
      <c r="J610" s="33"/>
      <c r="K610" s="33"/>
    </row>
    <row r="611" spans="1:11" ht="15.75">
      <c r="A611" s="33" t="s">
        <v>2122</v>
      </c>
      <c r="B611" s="33" t="s">
        <v>2076</v>
      </c>
      <c r="C611" s="33" t="s">
        <v>2123</v>
      </c>
      <c r="D611" s="33"/>
      <c r="E611" s="33"/>
      <c r="F611" s="33"/>
      <c r="G611" s="33"/>
      <c r="H611" s="33"/>
      <c r="I611" s="33"/>
      <c r="J611" s="33"/>
      <c r="K611" s="33"/>
    </row>
    <row r="612" spans="1:11" ht="15.75">
      <c r="A612" s="33" t="s">
        <v>2124</v>
      </c>
      <c r="B612" s="33" t="s">
        <v>2076</v>
      </c>
      <c r="C612" s="33" t="s">
        <v>853</v>
      </c>
      <c r="D612" s="33"/>
      <c r="E612" s="33"/>
      <c r="F612" s="33"/>
      <c r="G612" s="33"/>
      <c r="H612" s="33"/>
      <c r="I612" s="33"/>
      <c r="J612" s="33"/>
      <c r="K612" s="33"/>
    </row>
    <row r="613" spans="1:11" ht="15.75">
      <c r="A613" s="33" t="s">
        <v>2125</v>
      </c>
      <c r="B613" s="33" t="s">
        <v>2076</v>
      </c>
      <c r="C613" s="33" t="s">
        <v>481</v>
      </c>
      <c r="D613" s="33"/>
      <c r="E613" s="33"/>
      <c r="F613" s="33"/>
      <c r="G613" s="33"/>
      <c r="H613" s="33"/>
      <c r="I613" s="33"/>
      <c r="J613" s="33"/>
      <c r="K613" s="33"/>
    </row>
    <row r="614" spans="1:11" ht="15.75">
      <c r="A614" s="33" t="s">
        <v>2126</v>
      </c>
      <c r="B614" s="33" t="s">
        <v>2076</v>
      </c>
      <c r="C614" s="33" t="s">
        <v>439</v>
      </c>
      <c r="D614" s="33"/>
      <c r="E614" s="33"/>
      <c r="F614" s="33"/>
      <c r="G614" s="33"/>
      <c r="H614" s="33"/>
      <c r="I614" s="33"/>
      <c r="J614" s="33"/>
      <c r="K614" s="33"/>
    </row>
    <row r="615" spans="1:11" ht="15.75">
      <c r="A615" s="33" t="s">
        <v>2127</v>
      </c>
      <c r="B615" s="33" t="s">
        <v>2076</v>
      </c>
      <c r="C615" s="33" t="s">
        <v>622</v>
      </c>
      <c r="D615" s="33"/>
      <c r="E615" s="33"/>
      <c r="F615" s="33"/>
      <c r="G615" s="33"/>
      <c r="H615" s="33"/>
      <c r="I615" s="33"/>
      <c r="J615" s="33"/>
      <c r="K615" s="33"/>
    </row>
    <row r="616" spans="1:11" ht="15.75">
      <c r="A616" s="33" t="s">
        <v>2128</v>
      </c>
      <c r="B616" s="33" t="s">
        <v>2076</v>
      </c>
      <c r="C616" s="33" t="s">
        <v>484</v>
      </c>
      <c r="D616" s="33"/>
      <c r="E616" s="33"/>
      <c r="F616" s="33"/>
      <c r="G616" s="33"/>
      <c r="H616" s="33"/>
      <c r="I616" s="33"/>
      <c r="J616" s="33"/>
      <c r="K616" s="33"/>
    </row>
    <row r="617" spans="1:11" ht="15.75">
      <c r="A617" s="33" t="s">
        <v>2129</v>
      </c>
      <c r="B617" s="33" t="s">
        <v>2076</v>
      </c>
      <c r="C617" s="33" t="s">
        <v>2130</v>
      </c>
      <c r="D617" s="33"/>
      <c r="E617" s="33"/>
      <c r="F617" s="33"/>
      <c r="G617" s="33"/>
      <c r="H617" s="33"/>
      <c r="I617" s="33"/>
      <c r="J617" s="33"/>
      <c r="K617" s="33"/>
    </row>
    <row r="618" spans="1:11" ht="15.75">
      <c r="A618" s="33" t="s">
        <v>2131</v>
      </c>
      <c r="B618" s="33" t="s">
        <v>2076</v>
      </c>
      <c r="C618" s="33" t="s">
        <v>553</v>
      </c>
      <c r="D618" s="33"/>
      <c r="E618" s="33"/>
      <c r="F618" s="33"/>
      <c r="G618" s="33"/>
      <c r="H618" s="33"/>
      <c r="I618" s="33"/>
      <c r="J618" s="33"/>
      <c r="K618" s="33"/>
    </row>
    <row r="619" spans="1:11" ht="15.75">
      <c r="A619" s="33" t="s">
        <v>2132</v>
      </c>
      <c r="B619" s="33" t="s">
        <v>2076</v>
      </c>
      <c r="C619" s="33" t="s">
        <v>616</v>
      </c>
      <c r="D619" s="33"/>
      <c r="E619" s="33"/>
      <c r="F619" s="33"/>
      <c r="G619" s="33"/>
      <c r="H619" s="33"/>
      <c r="I619" s="33"/>
      <c r="J619" s="33"/>
      <c r="K619" s="33"/>
    </row>
    <row r="620" spans="1:11" ht="15.75">
      <c r="A620" s="33" t="s">
        <v>2133</v>
      </c>
      <c r="B620" s="33" t="s">
        <v>2076</v>
      </c>
      <c r="C620" s="33" t="s">
        <v>424</v>
      </c>
      <c r="D620" s="33"/>
      <c r="E620" s="33"/>
      <c r="F620" s="33"/>
      <c r="G620" s="33"/>
      <c r="H620" s="33"/>
      <c r="I620" s="33"/>
      <c r="J620" s="33"/>
      <c r="K620" s="33"/>
    </row>
    <row r="621" spans="1:11" ht="15.75">
      <c r="A621" s="33" t="s">
        <v>2134</v>
      </c>
      <c r="B621" s="33" t="s">
        <v>2076</v>
      </c>
      <c r="C621" s="33" t="s">
        <v>697</v>
      </c>
      <c r="D621" s="33"/>
      <c r="E621" s="33"/>
      <c r="F621" s="33"/>
      <c r="G621" s="33"/>
      <c r="H621" s="33"/>
      <c r="I621" s="33"/>
      <c r="J621" s="33"/>
      <c r="K621" s="33"/>
    </row>
    <row r="622" spans="1:11" ht="15.75">
      <c r="A622" s="33" t="s">
        <v>2135</v>
      </c>
      <c r="B622" s="33" t="s">
        <v>2076</v>
      </c>
      <c r="C622" s="33" t="s">
        <v>110</v>
      </c>
      <c r="D622" s="33"/>
      <c r="E622" s="33"/>
      <c r="F622" s="33"/>
      <c r="G622" s="33"/>
      <c r="H622" s="33"/>
      <c r="I622" s="33"/>
      <c r="J622" s="33"/>
      <c r="K622" s="33"/>
    </row>
    <row r="623" spans="1:11" ht="15.75">
      <c r="A623" s="33" t="s">
        <v>2136</v>
      </c>
      <c r="B623" s="33" t="s">
        <v>2076</v>
      </c>
      <c r="C623" s="33" t="s">
        <v>745</v>
      </c>
      <c r="D623" s="33"/>
      <c r="E623" s="33"/>
      <c r="F623" s="33"/>
      <c r="G623" s="33"/>
      <c r="H623" s="33"/>
      <c r="I623" s="33"/>
      <c r="J623" s="33"/>
      <c r="K623" s="33"/>
    </row>
    <row r="624" spans="1:11" ht="15.75">
      <c r="A624" s="33" t="s">
        <v>2137</v>
      </c>
      <c r="B624" s="33" t="s">
        <v>2076</v>
      </c>
      <c r="C624" s="33" t="s">
        <v>203</v>
      </c>
      <c r="D624" s="33"/>
      <c r="E624" s="33"/>
      <c r="F624" s="33"/>
      <c r="G624" s="33"/>
      <c r="H624" s="33"/>
      <c r="I624" s="33"/>
      <c r="J624" s="33"/>
      <c r="K624" s="33"/>
    </row>
    <row r="625" spans="1:11" ht="15.75">
      <c r="A625" s="33" t="s">
        <v>2138</v>
      </c>
      <c r="B625" s="33" t="s">
        <v>2076</v>
      </c>
      <c r="C625" s="33" t="s">
        <v>565</v>
      </c>
      <c r="D625" s="33"/>
      <c r="E625" s="33"/>
      <c r="F625" s="33"/>
      <c r="G625" s="33"/>
      <c r="H625" s="33"/>
      <c r="I625" s="33"/>
      <c r="J625" s="33"/>
      <c r="K625" s="33"/>
    </row>
    <row r="626" spans="1:11" ht="15.75">
      <c r="A626" s="33" t="s">
        <v>2139</v>
      </c>
      <c r="B626" s="33" t="s">
        <v>2076</v>
      </c>
      <c r="C626" s="33" t="s">
        <v>307</v>
      </c>
      <c r="D626" s="33"/>
      <c r="E626" s="33"/>
      <c r="F626" s="33"/>
      <c r="G626" s="33"/>
      <c r="H626" s="33"/>
      <c r="I626" s="33"/>
      <c r="J626" s="33"/>
      <c r="K626" s="33"/>
    </row>
    <row r="627" spans="1:11" ht="15.75">
      <c r="A627" s="33" t="s">
        <v>2140</v>
      </c>
      <c r="B627" s="33" t="s">
        <v>2076</v>
      </c>
      <c r="C627" s="33" t="s">
        <v>523</v>
      </c>
      <c r="D627" s="33"/>
      <c r="E627" s="33"/>
      <c r="F627" s="33"/>
      <c r="G627" s="33"/>
      <c r="H627" s="33"/>
      <c r="I627" s="33"/>
      <c r="J627" s="33"/>
      <c r="K627" s="33"/>
    </row>
    <row r="628" spans="1:11" ht="15.75">
      <c r="A628" s="33" t="s">
        <v>2141</v>
      </c>
      <c r="B628" s="33" t="s">
        <v>2076</v>
      </c>
      <c r="C628" s="33" t="s">
        <v>2142</v>
      </c>
      <c r="D628" s="33"/>
      <c r="E628" s="33"/>
      <c r="F628" s="33"/>
      <c r="G628" s="33"/>
      <c r="H628" s="33"/>
      <c r="I628" s="33"/>
      <c r="J628" s="33"/>
      <c r="K628" s="33"/>
    </row>
    <row r="629" spans="1:11" ht="15.75">
      <c r="A629" s="33" t="s">
        <v>2143</v>
      </c>
      <c r="B629" s="33" t="s">
        <v>2076</v>
      </c>
      <c r="C629" s="33" t="s">
        <v>2144</v>
      </c>
      <c r="D629" s="33"/>
      <c r="E629" s="33"/>
      <c r="F629" s="33"/>
      <c r="G629" s="33"/>
      <c r="H629" s="33"/>
      <c r="I629" s="33"/>
      <c r="J629" s="33"/>
      <c r="K629" s="33"/>
    </row>
    <row r="630" spans="1:11" ht="15.75">
      <c r="A630" s="33" t="s">
        <v>2145</v>
      </c>
      <c r="B630" s="33" t="s">
        <v>2076</v>
      </c>
      <c r="C630" s="33" t="s">
        <v>811</v>
      </c>
      <c r="D630" s="33"/>
      <c r="E630" s="33"/>
      <c r="F630" s="33"/>
      <c r="G630" s="33"/>
      <c r="H630" s="33"/>
      <c r="I630" s="33"/>
      <c r="J630" s="33"/>
      <c r="K630" s="33"/>
    </row>
    <row r="631" spans="1:11" ht="15.75">
      <c r="A631" s="33" t="s">
        <v>2146</v>
      </c>
      <c r="B631" s="33" t="s">
        <v>2076</v>
      </c>
      <c r="C631" s="33" t="s">
        <v>883</v>
      </c>
      <c r="D631" s="33"/>
      <c r="E631" s="33"/>
      <c r="F631" s="33"/>
      <c r="G631" s="33"/>
      <c r="H631" s="33"/>
      <c r="I631" s="33"/>
      <c r="J631" s="33"/>
      <c r="K631" s="33"/>
    </row>
    <row r="632" spans="1:11" ht="15.75">
      <c r="A632" s="33" t="s">
        <v>2147</v>
      </c>
      <c r="B632" s="33" t="s">
        <v>2076</v>
      </c>
      <c r="C632" s="33" t="s">
        <v>259</v>
      </c>
      <c r="D632" s="33"/>
      <c r="E632" s="33"/>
      <c r="F632" s="33"/>
      <c r="G632" s="33"/>
      <c r="H632" s="33"/>
      <c r="I632" s="33"/>
      <c r="J632" s="33"/>
      <c r="K632" s="33"/>
    </row>
    <row r="633" spans="1:11" ht="15.75">
      <c r="A633" s="33" t="s">
        <v>2148</v>
      </c>
      <c r="B633" s="33" t="s">
        <v>2076</v>
      </c>
      <c r="C633" s="33" t="s">
        <v>769</v>
      </c>
      <c r="D633" s="33"/>
      <c r="E633" s="33"/>
      <c r="F633" s="33"/>
      <c r="G633" s="33"/>
      <c r="H633" s="33"/>
      <c r="I633" s="33"/>
      <c r="J633" s="33"/>
      <c r="K633" s="33"/>
    </row>
    <row r="634" spans="1:11" ht="15.75">
      <c r="A634" s="33" t="s">
        <v>2149</v>
      </c>
      <c r="B634" s="33" t="s">
        <v>2076</v>
      </c>
      <c r="C634" s="33" t="s">
        <v>562</v>
      </c>
      <c r="D634" s="33"/>
      <c r="E634" s="33"/>
      <c r="F634" s="33"/>
      <c r="G634" s="33"/>
      <c r="H634" s="33"/>
      <c r="I634" s="33"/>
      <c r="J634" s="33"/>
      <c r="K634" s="33"/>
    </row>
    <row r="635" spans="1:11" ht="15.75">
      <c r="A635" s="33" t="s">
        <v>2150</v>
      </c>
      <c r="B635" s="33" t="s">
        <v>2076</v>
      </c>
      <c r="C635" s="33" t="s">
        <v>310</v>
      </c>
      <c r="D635" s="33"/>
      <c r="E635" s="33"/>
      <c r="F635" s="33"/>
      <c r="G635" s="33"/>
      <c r="H635" s="33"/>
      <c r="I635" s="33"/>
      <c r="J635" s="33"/>
      <c r="K635" s="33"/>
    </row>
    <row r="636" spans="1:11" ht="15.75">
      <c r="A636" s="33" t="s">
        <v>2151</v>
      </c>
      <c r="B636" s="33" t="s">
        <v>2076</v>
      </c>
      <c r="C636" s="33" t="s">
        <v>391</v>
      </c>
      <c r="D636" s="33"/>
      <c r="E636" s="33"/>
      <c r="F636" s="33"/>
      <c r="G636" s="33"/>
      <c r="H636" s="33"/>
      <c r="I636" s="33"/>
      <c r="J636" s="33"/>
      <c r="K636" s="33"/>
    </row>
    <row r="637" spans="1:11" ht="15.75">
      <c r="A637" s="33" t="s">
        <v>2152</v>
      </c>
      <c r="B637" s="33" t="s">
        <v>2076</v>
      </c>
      <c r="C637" s="33" t="s">
        <v>430</v>
      </c>
      <c r="D637" s="33"/>
      <c r="E637" s="33"/>
      <c r="F637" s="33"/>
      <c r="G637" s="33"/>
      <c r="H637" s="33"/>
      <c r="I637" s="33"/>
      <c r="J637" s="33"/>
      <c r="K637" s="33"/>
    </row>
    <row r="638" spans="1:11" ht="15.75">
      <c r="A638" s="33" t="s">
        <v>2153</v>
      </c>
      <c r="B638" s="33" t="s">
        <v>2076</v>
      </c>
      <c r="C638" s="33" t="s">
        <v>415</v>
      </c>
      <c r="D638" s="33"/>
      <c r="E638" s="33"/>
      <c r="F638" s="33"/>
      <c r="G638" s="33"/>
      <c r="H638" s="33"/>
      <c r="I638" s="33"/>
      <c r="J638" s="33"/>
      <c r="K638" s="33"/>
    </row>
    <row r="639" spans="1:11" ht="15.75">
      <c r="A639" s="33" t="s">
        <v>2154</v>
      </c>
      <c r="B639" s="33" t="s">
        <v>2076</v>
      </c>
      <c r="C639" s="33" t="s">
        <v>763</v>
      </c>
      <c r="D639" s="33"/>
      <c r="E639" s="33"/>
      <c r="F639" s="33"/>
      <c r="G639" s="33"/>
      <c r="H639" s="33"/>
      <c r="I639" s="33"/>
      <c r="J639" s="33"/>
      <c r="K639" s="33"/>
    </row>
    <row r="640" spans="1:11" ht="15.75">
      <c r="A640" s="33" t="s">
        <v>2155</v>
      </c>
      <c r="B640" s="33" t="s">
        <v>2076</v>
      </c>
      <c r="C640" s="33" t="s">
        <v>478</v>
      </c>
      <c r="D640" s="33"/>
      <c r="E640" s="33"/>
      <c r="F640" s="33"/>
      <c r="G640" s="33"/>
      <c r="H640" s="33"/>
      <c r="I640" s="33"/>
      <c r="J640" s="33"/>
      <c r="K640" s="33"/>
    </row>
    <row r="641" spans="1:11" ht="15.75">
      <c r="A641" s="33" t="s">
        <v>2156</v>
      </c>
      <c r="B641" s="33" t="s">
        <v>2076</v>
      </c>
      <c r="C641" s="33" t="s">
        <v>895</v>
      </c>
      <c r="D641" s="33"/>
      <c r="E641" s="33"/>
      <c r="F641" s="33"/>
      <c r="G641" s="33"/>
      <c r="H641" s="33"/>
      <c r="I641" s="33"/>
      <c r="J641" s="33"/>
      <c r="K641" s="33"/>
    </row>
    <row r="642" spans="1:11" ht="15.75">
      <c r="A642" s="33" t="s">
        <v>2157</v>
      </c>
      <c r="B642" s="33" t="s">
        <v>2076</v>
      </c>
      <c r="C642" s="33" t="s">
        <v>247</v>
      </c>
      <c r="D642" s="33"/>
      <c r="E642" s="33"/>
      <c r="F642" s="33"/>
      <c r="G642" s="33"/>
      <c r="H642" s="33"/>
      <c r="I642" s="33"/>
      <c r="J642" s="33"/>
      <c r="K642" s="33"/>
    </row>
    <row r="643" spans="1:11" ht="15.75">
      <c r="A643" s="33" t="s">
        <v>2158</v>
      </c>
      <c r="B643" s="33" t="s">
        <v>2076</v>
      </c>
      <c r="C643" s="33" t="s">
        <v>694</v>
      </c>
      <c r="D643" s="33"/>
      <c r="E643" s="33"/>
      <c r="F643" s="33"/>
      <c r="G643" s="33"/>
      <c r="H643" s="33"/>
      <c r="I643" s="33"/>
      <c r="J643" s="33"/>
      <c r="K643" s="33"/>
    </row>
    <row r="644" spans="1:11" ht="15.75">
      <c r="A644" s="33" t="s">
        <v>2159</v>
      </c>
      <c r="B644" s="33" t="s">
        <v>2076</v>
      </c>
      <c r="C644" s="33" t="s">
        <v>688</v>
      </c>
      <c r="D644" s="33"/>
      <c r="E644" s="33"/>
      <c r="F644" s="33"/>
      <c r="G644" s="33"/>
      <c r="H644" s="33"/>
      <c r="I644" s="33"/>
      <c r="J644" s="33"/>
      <c r="K644" s="33"/>
    </row>
    <row r="645" spans="1:11" ht="15.75">
      <c r="A645" s="33" t="s">
        <v>2160</v>
      </c>
      <c r="B645" s="33" t="s">
        <v>2076</v>
      </c>
      <c r="C645" s="33" t="s">
        <v>893</v>
      </c>
      <c r="D645" s="33"/>
      <c r="E645" s="33"/>
      <c r="F645" s="33"/>
      <c r="G645" s="33"/>
      <c r="H645" s="33"/>
      <c r="I645" s="33"/>
      <c r="J645" s="33"/>
      <c r="K645" s="33"/>
    </row>
    <row r="646" spans="1:11" ht="15.75">
      <c r="A646" s="33" t="s">
        <v>2161</v>
      </c>
      <c r="B646" s="33" t="s">
        <v>2076</v>
      </c>
      <c r="C646" s="33" t="s">
        <v>490</v>
      </c>
      <c r="D646" s="33"/>
      <c r="E646" s="33"/>
      <c r="F646" s="33"/>
      <c r="G646" s="33"/>
      <c r="H646" s="33"/>
      <c r="I646" s="33"/>
      <c r="J646" s="33"/>
      <c r="K646" s="33"/>
    </row>
    <row r="647" spans="1:11" ht="15.75">
      <c r="A647" s="33" t="s">
        <v>2162</v>
      </c>
      <c r="B647" s="33" t="s">
        <v>2076</v>
      </c>
      <c r="C647" s="33" t="s">
        <v>493</v>
      </c>
      <c r="D647" s="33"/>
      <c r="E647" s="33"/>
      <c r="F647" s="33"/>
      <c r="G647" s="33"/>
      <c r="H647" s="33"/>
      <c r="I647" s="33"/>
      <c r="J647" s="33"/>
      <c r="K647" s="33"/>
    </row>
    <row r="648" spans="1:11" ht="15.75">
      <c r="A648" s="33" t="s">
        <v>2163</v>
      </c>
      <c r="B648" s="33" t="s">
        <v>2076</v>
      </c>
      <c r="C648" s="33" t="s">
        <v>427</v>
      </c>
      <c r="D648" s="33"/>
      <c r="E648" s="33"/>
      <c r="F648" s="33"/>
      <c r="G648" s="33"/>
      <c r="H648" s="33"/>
      <c r="I648" s="33"/>
      <c r="J648" s="33"/>
      <c r="K648" s="33"/>
    </row>
    <row r="649" spans="1:11" ht="15.75">
      <c r="A649" s="33" t="s">
        <v>2164</v>
      </c>
      <c r="B649" s="33" t="s">
        <v>2076</v>
      </c>
      <c r="C649" s="33" t="s">
        <v>346</v>
      </c>
      <c r="D649" s="33"/>
      <c r="E649" s="33"/>
      <c r="F649" s="33"/>
      <c r="G649" s="33"/>
      <c r="H649" s="33"/>
      <c r="I649" s="33"/>
      <c r="J649" s="33"/>
      <c r="K649" s="33"/>
    </row>
    <row r="650" spans="1:11" ht="15.75">
      <c r="A650" s="33" t="s">
        <v>2165</v>
      </c>
      <c r="B650" s="33" t="s">
        <v>2076</v>
      </c>
      <c r="C650" s="33" t="s">
        <v>331</v>
      </c>
      <c r="D650" s="33"/>
      <c r="E650" s="33"/>
      <c r="F650" s="33"/>
      <c r="G650" s="33"/>
      <c r="H650" s="33"/>
      <c r="I650" s="33"/>
      <c r="J650" s="33"/>
      <c r="K650" s="33"/>
    </row>
    <row r="651" spans="1:11" ht="15.75">
      <c r="A651" s="33" t="s">
        <v>2166</v>
      </c>
      <c r="B651" s="33" t="s">
        <v>2076</v>
      </c>
      <c r="C651" s="33" t="s">
        <v>87</v>
      </c>
      <c r="D651" s="33"/>
      <c r="E651" s="33"/>
      <c r="F651" s="33"/>
      <c r="G651" s="33"/>
      <c r="H651" s="33"/>
      <c r="I651" s="33"/>
      <c r="J651" s="33"/>
      <c r="K651" s="33"/>
    </row>
    <row r="652" spans="1:11" ht="15.75">
      <c r="A652" s="33" t="s">
        <v>2167</v>
      </c>
      <c r="B652" s="33" t="s">
        <v>2076</v>
      </c>
      <c r="C652" s="33" t="s">
        <v>457</v>
      </c>
      <c r="D652" s="33"/>
      <c r="E652" s="33"/>
      <c r="F652" s="33"/>
      <c r="G652" s="33"/>
      <c r="H652" s="33"/>
      <c r="I652" s="33"/>
      <c r="J652" s="33"/>
      <c r="K652" s="33"/>
    </row>
    <row r="653" spans="1:11" ht="15.75">
      <c r="A653" s="33" t="s">
        <v>2168</v>
      </c>
      <c r="B653" s="33" t="s">
        <v>2076</v>
      </c>
      <c r="C653" s="33" t="s">
        <v>271</v>
      </c>
      <c r="D653" s="33"/>
      <c r="E653" s="33"/>
      <c r="F653" s="33"/>
      <c r="G653" s="33"/>
      <c r="H653" s="33"/>
      <c r="I653" s="33"/>
      <c r="J653" s="33"/>
      <c r="K653" s="33"/>
    </row>
    <row r="654" spans="1:11" ht="15.75">
      <c r="A654" s="33" t="s">
        <v>2169</v>
      </c>
      <c r="B654" s="33" t="s">
        <v>2076</v>
      </c>
      <c r="C654" s="33" t="s">
        <v>343</v>
      </c>
      <c r="D654" s="33"/>
      <c r="E654" s="33"/>
      <c r="F654" s="33"/>
      <c r="G654" s="33"/>
      <c r="H654" s="33"/>
      <c r="I654" s="33"/>
      <c r="J654" s="33"/>
      <c r="K654" s="33"/>
    </row>
    <row r="655" spans="1:11" ht="15.75">
      <c r="A655" s="33" t="s">
        <v>2170</v>
      </c>
      <c r="B655" s="33" t="s">
        <v>2076</v>
      </c>
      <c r="C655" s="33" t="s">
        <v>151</v>
      </c>
      <c r="D655" s="33"/>
      <c r="E655" s="33"/>
      <c r="F655" s="33"/>
      <c r="G655" s="33"/>
      <c r="H655" s="33"/>
      <c r="I655" s="33"/>
      <c r="J655" s="33"/>
      <c r="K655" s="33"/>
    </row>
    <row r="656" spans="1:11" ht="15.75">
      <c r="A656" s="33" t="s">
        <v>2171</v>
      </c>
      <c r="B656" s="33" t="s">
        <v>2076</v>
      </c>
      <c r="C656" s="33" t="s">
        <v>2172</v>
      </c>
      <c r="D656" s="33"/>
      <c r="E656" s="33"/>
      <c r="F656" s="33"/>
      <c r="G656" s="33"/>
      <c r="H656" s="33"/>
      <c r="I656" s="33"/>
      <c r="J656" s="33"/>
      <c r="K656" s="33"/>
    </row>
    <row r="657" spans="1:11" ht="15.75">
      <c r="A657" s="33" t="s">
        <v>2173</v>
      </c>
      <c r="B657" s="33" t="s">
        <v>2076</v>
      </c>
      <c r="C657" s="33" t="s">
        <v>2174</v>
      </c>
      <c r="D657" s="33"/>
      <c r="E657" s="33"/>
      <c r="F657" s="33"/>
      <c r="G657" s="33"/>
      <c r="H657" s="33"/>
      <c r="I657" s="33"/>
      <c r="J657" s="33"/>
      <c r="K657" s="33"/>
    </row>
    <row r="658" spans="1:11" ht="15.75">
      <c r="A658" s="33" t="s">
        <v>2175</v>
      </c>
      <c r="B658" s="33" t="s">
        <v>2076</v>
      </c>
      <c r="C658" s="33" t="s">
        <v>2176</v>
      </c>
      <c r="D658" s="33"/>
      <c r="E658" s="33"/>
      <c r="F658" s="33"/>
      <c r="G658" s="33"/>
      <c r="H658" s="33"/>
      <c r="I658" s="33"/>
      <c r="J658" s="33"/>
      <c r="K658" s="33"/>
    </row>
    <row r="659" spans="1:11" ht="15.75">
      <c r="A659" s="33" t="s">
        <v>2177</v>
      </c>
      <c r="B659" s="33" t="s">
        <v>2076</v>
      </c>
      <c r="C659" s="33" t="s">
        <v>2178</v>
      </c>
      <c r="D659" s="33"/>
      <c r="E659" s="33"/>
      <c r="F659" s="33"/>
      <c r="G659" s="33"/>
      <c r="H659" s="33"/>
      <c r="I659" s="33"/>
      <c r="J659" s="33"/>
      <c r="K659" s="33"/>
    </row>
    <row r="660" spans="1:11" ht="15.75">
      <c r="A660" s="33" t="s">
        <v>2179</v>
      </c>
      <c r="B660" s="33" t="s">
        <v>2076</v>
      </c>
      <c r="C660" s="33" t="s">
        <v>469</v>
      </c>
      <c r="D660" s="33"/>
      <c r="E660" s="33"/>
      <c r="F660" s="33"/>
      <c r="G660" s="33"/>
      <c r="H660" s="33"/>
      <c r="I660" s="33"/>
      <c r="J660" s="33"/>
      <c r="K660" s="33"/>
    </row>
    <row r="661" spans="1:11" ht="15.75">
      <c r="A661" s="33" t="s">
        <v>2180</v>
      </c>
      <c r="B661" s="33" t="s">
        <v>2076</v>
      </c>
      <c r="C661" s="33" t="s">
        <v>778</v>
      </c>
      <c r="D661" s="33"/>
      <c r="E661" s="33"/>
      <c r="F661" s="33"/>
      <c r="G661" s="33"/>
      <c r="H661" s="33"/>
      <c r="I661" s="33"/>
      <c r="J661" s="33"/>
      <c r="K661" s="33"/>
    </row>
    <row r="662" spans="1:11" ht="15.75">
      <c r="A662" s="33" t="s">
        <v>2181</v>
      </c>
      <c r="B662" s="33" t="s">
        <v>2076</v>
      </c>
      <c r="C662" s="33" t="s">
        <v>400</v>
      </c>
      <c r="D662" s="33"/>
      <c r="E662" s="33"/>
      <c r="F662" s="33"/>
      <c r="G662" s="33"/>
      <c r="H662" s="33"/>
      <c r="I662" s="33"/>
      <c r="J662" s="33"/>
      <c r="K662" s="33"/>
    </row>
    <row r="663" spans="1:11" ht="15.75">
      <c r="A663" s="33" t="s">
        <v>2182</v>
      </c>
      <c r="B663" s="33" t="s">
        <v>2076</v>
      </c>
      <c r="C663" s="33" t="s">
        <v>105</v>
      </c>
      <c r="D663" s="33"/>
      <c r="E663" s="33"/>
      <c r="F663" s="33"/>
      <c r="G663" s="33"/>
      <c r="H663" s="33"/>
      <c r="I663" s="33"/>
      <c r="J663" s="33"/>
      <c r="K663" s="33"/>
    </row>
    <row r="664" spans="1:11" ht="15.75">
      <c r="A664" s="33" t="s">
        <v>2183</v>
      </c>
      <c r="B664" s="33" t="s">
        <v>2076</v>
      </c>
      <c r="C664" s="33" t="s">
        <v>97</v>
      </c>
      <c r="D664" s="33"/>
      <c r="E664" s="33"/>
      <c r="F664" s="33"/>
      <c r="G664" s="33"/>
      <c r="H664" s="33"/>
      <c r="I664" s="33"/>
      <c r="J664" s="33"/>
      <c r="K664" s="33"/>
    </row>
    <row r="665" spans="1:11" ht="15.75">
      <c r="A665" s="33" t="s">
        <v>2184</v>
      </c>
      <c r="B665" s="33" t="s">
        <v>2076</v>
      </c>
      <c r="C665" s="33" t="s">
        <v>2185</v>
      </c>
      <c r="D665" s="33"/>
      <c r="E665" s="33"/>
      <c r="F665" s="33"/>
      <c r="G665" s="33"/>
      <c r="H665" s="33"/>
      <c r="I665" s="33"/>
      <c r="J665" s="33"/>
      <c r="K665" s="33"/>
    </row>
    <row r="666" spans="1:11" ht="15.75">
      <c r="A666" s="33" t="s">
        <v>2186</v>
      </c>
      <c r="B666" s="33" t="s">
        <v>2076</v>
      </c>
      <c r="C666" s="33" t="s">
        <v>2187</v>
      </c>
      <c r="D666" s="33"/>
      <c r="E666" s="33"/>
      <c r="F666" s="33"/>
      <c r="G666" s="33"/>
      <c r="H666" s="33"/>
      <c r="I666" s="33"/>
      <c r="J666" s="33"/>
      <c r="K666" s="33"/>
    </row>
    <row r="667" spans="1:11" ht="15.75">
      <c r="A667" s="33" t="s">
        <v>2188</v>
      </c>
      <c r="B667" s="33" t="s">
        <v>2076</v>
      </c>
      <c r="C667" s="33" t="s">
        <v>2189</v>
      </c>
      <c r="D667" s="33"/>
      <c r="E667" s="33"/>
      <c r="F667" s="33"/>
      <c r="G667" s="33"/>
      <c r="H667" s="33"/>
      <c r="I667" s="33"/>
      <c r="J667" s="33"/>
      <c r="K667" s="33"/>
    </row>
    <row r="668" spans="1:11" ht="15.75">
      <c r="A668" s="33" t="s">
        <v>2190</v>
      </c>
      <c r="B668" s="33" t="s">
        <v>2076</v>
      </c>
      <c r="C668" s="33" t="s">
        <v>721</v>
      </c>
      <c r="D668" s="33"/>
      <c r="E668" s="33"/>
      <c r="F668" s="33"/>
      <c r="G668" s="33"/>
      <c r="H668" s="33"/>
      <c r="I668" s="33"/>
      <c r="J668" s="33"/>
      <c r="K668" s="33"/>
    </row>
    <row r="669" spans="1:11" ht="15.75">
      <c r="A669" s="33" t="s">
        <v>2191</v>
      </c>
      <c r="B669" s="33" t="s">
        <v>2076</v>
      </c>
      <c r="C669" s="33" t="s">
        <v>2192</v>
      </c>
      <c r="D669" s="33"/>
      <c r="E669" s="33"/>
      <c r="F669" s="33"/>
      <c r="G669" s="33"/>
      <c r="H669" s="33"/>
      <c r="I669" s="33"/>
      <c r="J669" s="33"/>
      <c r="K669" s="33"/>
    </row>
    <row r="670" spans="1:11" ht="15.75">
      <c r="A670" s="33" t="s">
        <v>2193</v>
      </c>
      <c r="B670" s="33" t="s">
        <v>2076</v>
      </c>
      <c r="C670" s="33" t="s">
        <v>890</v>
      </c>
      <c r="D670" s="33"/>
      <c r="E670" s="33"/>
      <c r="F670" s="33"/>
      <c r="G670" s="33"/>
      <c r="H670" s="33"/>
      <c r="I670" s="33"/>
      <c r="J670" s="33"/>
      <c r="K670" s="33"/>
    </row>
    <row r="671" spans="1:11" ht="15.75">
      <c r="A671" s="33" t="s">
        <v>2194</v>
      </c>
      <c r="B671" s="33" t="s">
        <v>2076</v>
      </c>
      <c r="C671" s="33" t="s">
        <v>889</v>
      </c>
      <c r="D671" s="33"/>
      <c r="E671" s="33"/>
      <c r="F671" s="33"/>
      <c r="G671" s="33"/>
      <c r="H671" s="33"/>
      <c r="I671" s="33"/>
      <c r="J671" s="33"/>
      <c r="K671" s="33"/>
    </row>
    <row r="672" spans="1:11" ht="15.75">
      <c r="A672" s="33" t="s">
        <v>2195</v>
      </c>
      <c r="B672" s="33" t="s">
        <v>2076</v>
      </c>
      <c r="C672" s="33" t="s">
        <v>502</v>
      </c>
      <c r="D672" s="33"/>
      <c r="E672" s="33"/>
      <c r="F672" s="33"/>
      <c r="G672" s="33"/>
      <c r="H672" s="33"/>
      <c r="I672" s="33"/>
      <c r="J672" s="33"/>
      <c r="K672" s="33"/>
    </row>
    <row r="673" spans="1:11" ht="15.75">
      <c r="A673" s="33" t="s">
        <v>2196</v>
      </c>
      <c r="B673" s="33" t="s">
        <v>2076</v>
      </c>
      <c r="C673" s="33" t="s">
        <v>2197</v>
      </c>
      <c r="D673" s="33"/>
      <c r="E673" s="33"/>
      <c r="F673" s="33"/>
      <c r="G673" s="33"/>
      <c r="H673" s="33"/>
      <c r="I673" s="33"/>
      <c r="J673" s="33"/>
      <c r="K673" s="33"/>
    </row>
    <row r="674" spans="1:11" ht="15.75">
      <c r="A674" s="33" t="s">
        <v>2198</v>
      </c>
      <c r="B674" s="33" t="s">
        <v>2076</v>
      </c>
      <c r="C674" s="33" t="s">
        <v>730</v>
      </c>
      <c r="D674" s="33"/>
      <c r="E674" s="33"/>
      <c r="F674" s="33"/>
      <c r="G674" s="33"/>
      <c r="H674" s="33"/>
      <c r="I674" s="33"/>
      <c r="J674" s="33"/>
      <c r="K674" s="33"/>
    </row>
    <row r="675" spans="1:11" ht="15.75">
      <c r="A675" s="33" t="s">
        <v>2199</v>
      </c>
      <c r="B675" s="33" t="s">
        <v>2076</v>
      </c>
      <c r="C675" s="33" t="s">
        <v>496</v>
      </c>
      <c r="D675" s="33"/>
      <c r="E675" s="33"/>
      <c r="F675" s="33"/>
      <c r="G675" s="33"/>
      <c r="H675" s="33"/>
      <c r="I675" s="33"/>
      <c r="J675" s="33"/>
      <c r="K675" s="33"/>
    </row>
    <row r="676" spans="1:11" ht="15.75">
      <c r="A676" s="33" t="s">
        <v>2200</v>
      </c>
      <c r="B676" s="33" t="s">
        <v>2076</v>
      </c>
      <c r="C676" s="33" t="s">
        <v>207</v>
      </c>
      <c r="D676" s="33"/>
      <c r="E676" s="33"/>
      <c r="F676" s="33"/>
      <c r="G676" s="33"/>
      <c r="H676" s="33"/>
      <c r="I676" s="33"/>
      <c r="J676" s="33"/>
      <c r="K676" s="33"/>
    </row>
    <row r="677" spans="1:11" ht="15.75">
      <c r="A677" s="33" t="s">
        <v>2201</v>
      </c>
      <c r="B677" s="33" t="s">
        <v>2076</v>
      </c>
      <c r="C677" s="33" t="s">
        <v>685</v>
      </c>
      <c r="D677" s="33"/>
      <c r="E677" s="33"/>
      <c r="F677" s="33"/>
      <c r="G677" s="33"/>
      <c r="H677" s="33"/>
      <c r="I677" s="33"/>
      <c r="J677" s="33"/>
      <c r="K677" s="33"/>
    </row>
    <row r="678" spans="1:11" ht="15.75">
      <c r="A678" s="33" t="s">
        <v>2202</v>
      </c>
      <c r="B678" s="33" t="s">
        <v>2076</v>
      </c>
      <c r="C678" s="33" t="s">
        <v>243</v>
      </c>
      <c r="D678" s="33"/>
      <c r="E678" s="33"/>
      <c r="F678" s="33"/>
      <c r="G678" s="33"/>
      <c r="H678" s="33"/>
      <c r="I678" s="33"/>
      <c r="J678" s="33"/>
      <c r="K678" s="33"/>
    </row>
    <row r="679" spans="1:11" ht="15.75">
      <c r="A679" s="33" t="s">
        <v>2203</v>
      </c>
      <c r="B679" s="33" t="s">
        <v>2076</v>
      </c>
      <c r="C679" s="33" t="s">
        <v>101</v>
      </c>
      <c r="D679" s="33"/>
      <c r="E679" s="33"/>
      <c r="F679" s="33"/>
      <c r="G679" s="33"/>
      <c r="H679" s="33"/>
      <c r="I679" s="33"/>
      <c r="J679" s="33"/>
      <c r="K679" s="33"/>
    </row>
    <row r="680" spans="1:11" ht="15.75">
      <c r="A680" s="33" t="s">
        <v>2204</v>
      </c>
      <c r="B680" s="33" t="s">
        <v>2076</v>
      </c>
      <c r="C680" s="33" t="s">
        <v>2205</v>
      </c>
      <c r="D680" s="33"/>
      <c r="E680" s="33"/>
      <c r="F680" s="33"/>
      <c r="G680" s="33"/>
      <c r="H680" s="33"/>
      <c r="I680" s="33"/>
      <c r="J680" s="33"/>
      <c r="K680" s="33"/>
    </row>
    <row r="681" spans="1:11" ht="15.75">
      <c r="A681" s="33" t="s">
        <v>2206</v>
      </c>
      <c r="B681" s="33" t="s">
        <v>2076</v>
      </c>
      <c r="C681" s="33" t="s">
        <v>11</v>
      </c>
      <c r="D681" s="33"/>
      <c r="E681" s="33"/>
      <c r="F681" s="33"/>
      <c r="G681" s="33"/>
      <c r="H681" s="33"/>
      <c r="I681" s="33"/>
      <c r="J681" s="33"/>
      <c r="K681" s="33"/>
    </row>
    <row r="682" spans="1:11" ht="15.75">
      <c r="A682" s="33" t="s">
        <v>2207</v>
      </c>
      <c r="B682" s="33" t="s">
        <v>2076</v>
      </c>
      <c r="C682" s="33" t="s">
        <v>532</v>
      </c>
      <c r="D682" s="33"/>
      <c r="E682" s="33"/>
      <c r="F682" s="33"/>
      <c r="G682" s="33"/>
      <c r="H682" s="33"/>
      <c r="I682" s="33"/>
      <c r="J682" s="33"/>
      <c r="K682" s="33"/>
    </row>
    <row r="683" spans="1:11" ht="15.75">
      <c r="A683" s="33" t="s">
        <v>2208</v>
      </c>
      <c r="B683" s="33" t="s">
        <v>2076</v>
      </c>
      <c r="C683" s="33" t="s">
        <v>18</v>
      </c>
      <c r="D683" s="33"/>
      <c r="E683" s="33"/>
      <c r="F683" s="33"/>
      <c r="G683" s="33"/>
      <c r="H683" s="33"/>
      <c r="I683" s="33"/>
      <c r="J683" s="33"/>
      <c r="K683" s="33"/>
    </row>
    <row r="684" spans="1:11" ht="15.75">
      <c r="A684" s="33" t="s">
        <v>2209</v>
      </c>
      <c r="B684" s="33" t="s">
        <v>2076</v>
      </c>
      <c r="C684" s="33" t="s">
        <v>67</v>
      </c>
      <c r="D684" s="33"/>
      <c r="E684" s="33"/>
      <c r="F684" s="33"/>
      <c r="G684" s="33"/>
      <c r="H684" s="33"/>
      <c r="I684" s="33"/>
      <c r="J684" s="33"/>
      <c r="K684" s="33"/>
    </row>
    <row r="685" spans="1:11" ht="15.75">
      <c r="A685" s="33" t="s">
        <v>2210</v>
      </c>
      <c r="B685" s="33" t="s">
        <v>2076</v>
      </c>
      <c r="C685" s="33" t="s">
        <v>736</v>
      </c>
      <c r="D685" s="33"/>
      <c r="E685" s="33"/>
      <c r="F685" s="33"/>
      <c r="G685" s="33"/>
      <c r="H685" s="33"/>
      <c r="I685" s="33"/>
      <c r="J685" s="33"/>
      <c r="K685" s="33"/>
    </row>
    <row r="686" spans="1:11" ht="15.75">
      <c r="A686" s="33" t="s">
        <v>2211</v>
      </c>
      <c r="B686" s="33" t="s">
        <v>2076</v>
      </c>
      <c r="C686" s="33" t="s">
        <v>352</v>
      </c>
      <c r="D686" s="33"/>
      <c r="E686" s="33"/>
      <c r="F686" s="33"/>
      <c r="G686" s="33"/>
      <c r="H686" s="33"/>
      <c r="I686" s="33"/>
      <c r="J686" s="33"/>
      <c r="K686" s="33"/>
    </row>
    <row r="687" spans="1:11" ht="15.75">
      <c r="A687" s="33" t="s">
        <v>2212</v>
      </c>
      <c r="B687" s="33" t="s">
        <v>2076</v>
      </c>
      <c r="C687" s="33" t="s">
        <v>2213</v>
      </c>
      <c r="D687" s="33"/>
      <c r="E687" s="33"/>
      <c r="F687" s="33"/>
      <c r="G687" s="33"/>
      <c r="H687" s="33"/>
      <c r="I687" s="33"/>
      <c r="J687" s="33"/>
      <c r="K687" s="33"/>
    </row>
    <row r="688" spans="1:11" ht="15.75">
      <c r="A688" s="33" t="s">
        <v>2214</v>
      </c>
      <c r="B688" s="33" t="s">
        <v>2076</v>
      </c>
      <c r="C688" s="33" t="s">
        <v>2215</v>
      </c>
      <c r="D688" s="33"/>
      <c r="E688" s="33"/>
      <c r="F688" s="33"/>
      <c r="G688" s="33"/>
      <c r="H688" s="33"/>
      <c r="I688" s="33"/>
      <c r="J688" s="33"/>
      <c r="K688" s="33"/>
    </row>
    <row r="689" spans="1:11" ht="15.75">
      <c r="A689" s="33" t="s">
        <v>2216</v>
      </c>
      <c r="B689" s="33" t="s">
        <v>2076</v>
      </c>
      <c r="C689" s="33" t="s">
        <v>508</v>
      </c>
      <c r="D689" s="33"/>
      <c r="E689" s="33"/>
      <c r="F689" s="33"/>
      <c r="G689" s="33"/>
      <c r="H689" s="33"/>
      <c r="I689" s="33"/>
      <c r="J689" s="33"/>
      <c r="K689" s="33"/>
    </row>
    <row r="690" spans="1:11" ht="15.75">
      <c r="A690" s="33" t="s">
        <v>2217</v>
      </c>
      <c r="B690" s="33" t="s">
        <v>2076</v>
      </c>
      <c r="C690" s="33" t="s">
        <v>291</v>
      </c>
      <c r="D690" s="33"/>
      <c r="E690" s="33"/>
      <c r="F690" s="33"/>
      <c r="G690" s="33"/>
      <c r="H690" s="33"/>
      <c r="I690" s="33"/>
      <c r="J690" s="33"/>
      <c r="K690" s="33"/>
    </row>
    <row r="691" spans="1:11" ht="15.75">
      <c r="A691" s="33" t="s">
        <v>2218</v>
      </c>
      <c r="B691" s="33" t="s">
        <v>2076</v>
      </c>
      <c r="C691" s="33" t="s">
        <v>376</v>
      </c>
      <c r="D691" s="33"/>
      <c r="E691" s="33"/>
      <c r="F691" s="33"/>
      <c r="G691" s="33"/>
      <c r="H691" s="33"/>
      <c r="I691" s="33"/>
      <c r="J691" s="33"/>
      <c r="K691" s="33"/>
    </row>
    <row r="692" spans="1:11" ht="15.75">
      <c r="A692" s="33" t="s">
        <v>2219</v>
      </c>
      <c r="B692" s="33" t="s">
        <v>2076</v>
      </c>
      <c r="C692" s="33" t="s">
        <v>751</v>
      </c>
      <c r="D692" s="33"/>
      <c r="E692" s="33"/>
      <c r="F692" s="33"/>
      <c r="G692" s="33"/>
      <c r="H692" s="33"/>
      <c r="I692" s="33"/>
      <c r="J692" s="33"/>
      <c r="K692" s="33"/>
    </row>
    <row r="693" spans="1:11" ht="15.75">
      <c r="A693" s="33" t="s">
        <v>2220</v>
      </c>
      <c r="B693" s="33" t="s">
        <v>2076</v>
      </c>
      <c r="C693" s="33" t="s">
        <v>114</v>
      </c>
      <c r="D693" s="33"/>
      <c r="E693" s="33"/>
      <c r="F693" s="33"/>
      <c r="G693" s="33"/>
      <c r="H693" s="33"/>
      <c r="I693" s="33"/>
      <c r="J693" s="33"/>
      <c r="K693" s="33"/>
    </row>
    <row r="694" spans="1:11" ht="15.75">
      <c r="A694" s="33" t="s">
        <v>2221</v>
      </c>
      <c r="B694" s="33" t="s">
        <v>2076</v>
      </c>
      <c r="C694" s="33" t="s">
        <v>394</v>
      </c>
      <c r="D694" s="33"/>
      <c r="E694" s="33"/>
      <c r="F694" s="33"/>
      <c r="G694" s="33"/>
      <c r="H694" s="33"/>
      <c r="I694" s="33"/>
      <c r="J694" s="33"/>
      <c r="K694" s="33"/>
    </row>
    <row r="695" spans="1:11" ht="15.75">
      <c r="A695" s="33" t="s">
        <v>2222</v>
      </c>
      <c r="B695" s="33" t="s">
        <v>2076</v>
      </c>
      <c r="C695" s="33" t="s">
        <v>511</v>
      </c>
      <c r="D695" s="33"/>
      <c r="E695" s="33"/>
      <c r="F695" s="33"/>
      <c r="G695" s="33"/>
      <c r="H695" s="33"/>
      <c r="I695" s="33"/>
      <c r="J695" s="33"/>
      <c r="K695" s="33"/>
    </row>
    <row r="696" spans="1:11" ht="15.75">
      <c r="A696" s="33" t="s">
        <v>2223</v>
      </c>
      <c r="B696" s="33" t="s">
        <v>2076</v>
      </c>
      <c r="C696" s="33" t="s">
        <v>559</v>
      </c>
      <c r="D696" s="33"/>
      <c r="E696" s="33"/>
      <c r="F696" s="33"/>
      <c r="G696" s="33"/>
      <c r="H696" s="33"/>
      <c r="I696" s="33"/>
      <c r="J696" s="33"/>
      <c r="K696" s="33"/>
    </row>
    <row r="697" spans="1:11" ht="15.75">
      <c r="A697" s="33" t="s">
        <v>2224</v>
      </c>
      <c r="B697" s="33" t="s">
        <v>2076</v>
      </c>
      <c r="C697" s="33" t="s">
        <v>472</v>
      </c>
      <c r="D697" s="33"/>
      <c r="E697" s="33"/>
      <c r="F697" s="33"/>
      <c r="G697" s="33"/>
      <c r="H697" s="33"/>
      <c r="I697" s="33"/>
      <c r="J697" s="33"/>
      <c r="K697" s="33"/>
    </row>
    <row r="698" spans="1:11" ht="15.75">
      <c r="A698" s="33" t="s">
        <v>2225</v>
      </c>
      <c r="B698" s="33" t="s">
        <v>2076</v>
      </c>
      <c r="C698" s="33" t="s">
        <v>2226</v>
      </c>
      <c r="D698" s="33"/>
      <c r="E698" s="33"/>
      <c r="F698" s="33"/>
      <c r="G698" s="33"/>
      <c r="H698" s="33"/>
      <c r="I698" s="33"/>
      <c r="J698" s="33"/>
      <c r="K698" s="33"/>
    </row>
    <row r="699" spans="1:11" ht="15.75">
      <c r="A699" s="33" t="s">
        <v>2227</v>
      </c>
      <c r="B699" s="33" t="s">
        <v>2076</v>
      </c>
      <c r="C699" s="33" t="s">
        <v>2228</v>
      </c>
      <c r="D699" s="33"/>
      <c r="E699" s="33"/>
      <c r="F699" s="33"/>
      <c r="G699" s="33"/>
      <c r="H699" s="33"/>
      <c r="I699" s="33"/>
      <c r="J699" s="33"/>
      <c r="K699" s="33"/>
    </row>
    <row r="700" spans="1:11" ht="15.75">
      <c r="A700" s="33" t="s">
        <v>2229</v>
      </c>
      <c r="B700" s="33" t="s">
        <v>2076</v>
      </c>
      <c r="C700" s="33" t="s">
        <v>2230</v>
      </c>
      <c r="D700" s="33"/>
      <c r="E700" s="33"/>
      <c r="F700" s="33"/>
      <c r="G700" s="33"/>
      <c r="H700" s="33"/>
      <c r="I700" s="33"/>
      <c r="J700" s="33"/>
      <c r="K700" s="33"/>
    </row>
    <row r="701" spans="1:11" ht="15.75">
      <c r="A701" s="33" t="s">
        <v>2231</v>
      </c>
      <c r="B701" s="33" t="s">
        <v>2076</v>
      </c>
      <c r="C701" s="33" t="s">
        <v>183</v>
      </c>
      <c r="D701" s="33"/>
      <c r="E701" s="33"/>
      <c r="F701" s="33"/>
      <c r="G701" s="33"/>
      <c r="H701" s="33"/>
      <c r="I701" s="33"/>
      <c r="J701" s="33"/>
      <c r="K701" s="33"/>
    </row>
    <row r="702" spans="1:11" ht="15.75">
      <c r="A702" s="33" t="s">
        <v>2232</v>
      </c>
      <c r="B702" s="33" t="s">
        <v>2076</v>
      </c>
      <c r="C702" s="33" t="s">
        <v>466</v>
      </c>
      <c r="D702" s="33"/>
      <c r="E702" s="33"/>
      <c r="F702" s="33"/>
      <c r="G702" s="33"/>
      <c r="H702" s="33"/>
      <c r="I702" s="33"/>
      <c r="J702" s="33"/>
      <c r="K702" s="33"/>
    </row>
    <row r="703" spans="1:11" ht="15.75">
      <c r="A703" s="33" t="s">
        <v>2233</v>
      </c>
      <c r="B703" s="33" t="s">
        <v>2076</v>
      </c>
      <c r="C703" s="33" t="s">
        <v>54</v>
      </c>
      <c r="D703" s="33"/>
      <c r="E703" s="33"/>
      <c r="F703" s="33"/>
      <c r="G703" s="33"/>
      <c r="H703" s="33"/>
      <c r="I703" s="33"/>
      <c r="J703" s="33"/>
      <c r="K703" s="33"/>
    </row>
    <row r="704" spans="1:11" ht="15.75">
      <c r="A704" s="33" t="s">
        <v>2234</v>
      </c>
      <c r="B704" s="33" t="s">
        <v>2076</v>
      </c>
      <c r="C704" s="33" t="s">
        <v>760</v>
      </c>
      <c r="D704" s="33"/>
      <c r="E704" s="33"/>
      <c r="F704" s="33"/>
      <c r="G704" s="33"/>
      <c r="H704" s="33"/>
      <c r="I704" s="33"/>
      <c r="J704" s="33"/>
      <c r="K704" s="33"/>
    </row>
    <row r="705" spans="1:11" ht="15.75">
      <c r="A705" s="33" t="s">
        <v>2235</v>
      </c>
      <c r="B705" s="33" t="s">
        <v>2076</v>
      </c>
      <c r="C705" s="33" t="s">
        <v>538</v>
      </c>
      <c r="D705" s="33"/>
      <c r="E705" s="33"/>
      <c r="F705" s="33"/>
      <c r="G705" s="33"/>
      <c r="H705" s="33"/>
      <c r="I705" s="33"/>
      <c r="J705" s="33"/>
      <c r="K705" s="33"/>
    </row>
    <row r="706" spans="1:11" ht="15.75">
      <c r="A706" s="33" t="s">
        <v>2236</v>
      </c>
      <c r="B706" s="33" t="s">
        <v>2076</v>
      </c>
      <c r="C706" s="33" t="s">
        <v>442</v>
      </c>
      <c r="D706" s="33"/>
      <c r="E706" s="33"/>
      <c r="F706" s="33"/>
      <c r="G706" s="33"/>
      <c r="H706" s="33"/>
      <c r="I706" s="33"/>
      <c r="J706" s="33"/>
      <c r="K706" s="33"/>
    </row>
    <row r="707" spans="1:11" ht="15.75">
      <c r="A707" s="33" t="s">
        <v>2237</v>
      </c>
      <c r="B707" s="33" t="s">
        <v>2076</v>
      </c>
      <c r="C707" s="33" t="s">
        <v>2238</v>
      </c>
      <c r="D707" s="33"/>
      <c r="E707" s="33"/>
      <c r="F707" s="33"/>
      <c r="G707" s="33"/>
      <c r="H707" s="33"/>
      <c r="I707" s="33"/>
      <c r="J707" s="33"/>
      <c r="K707" s="33"/>
    </row>
    <row r="708" spans="1:11" ht="15.75">
      <c r="A708" s="33" t="s">
        <v>2239</v>
      </c>
      <c r="B708" s="33" t="s">
        <v>2076</v>
      </c>
      <c r="C708" s="33" t="s">
        <v>316</v>
      </c>
      <c r="D708" s="33"/>
      <c r="E708" s="33"/>
      <c r="F708" s="33"/>
      <c r="G708" s="33"/>
      <c r="H708" s="33"/>
      <c r="I708" s="33"/>
      <c r="J708" s="33"/>
      <c r="K708" s="33"/>
    </row>
    <row r="709" spans="1:11" ht="15.75">
      <c r="A709" s="33" t="s">
        <v>2240</v>
      </c>
      <c r="B709" s="33" t="s">
        <v>2076</v>
      </c>
      <c r="C709" s="33" t="s">
        <v>514</v>
      </c>
      <c r="D709" s="33"/>
      <c r="E709" s="33"/>
      <c r="F709" s="33"/>
      <c r="G709" s="33"/>
      <c r="H709" s="33"/>
      <c r="I709" s="33"/>
      <c r="J709" s="33"/>
      <c r="K709" s="33"/>
    </row>
    <row r="710" spans="1:11" ht="15.75">
      <c r="A710" s="33" t="s">
        <v>2241</v>
      </c>
      <c r="B710" s="33" t="s">
        <v>2076</v>
      </c>
      <c r="C710" s="33" t="s">
        <v>2242</v>
      </c>
      <c r="D710" s="33"/>
      <c r="E710" s="33"/>
      <c r="F710" s="33"/>
      <c r="G710" s="33"/>
      <c r="H710" s="33"/>
      <c r="I710" s="33"/>
      <c r="J710" s="33"/>
      <c r="K710" s="33"/>
    </row>
    <row r="711" spans="1:11" ht="15.75">
      <c r="A711" s="33" t="s">
        <v>2243</v>
      </c>
      <c r="B711" s="33" t="s">
        <v>2076</v>
      </c>
      <c r="C711" s="33" t="s">
        <v>541</v>
      </c>
      <c r="D711" s="33"/>
      <c r="E711" s="33"/>
      <c r="F711" s="33"/>
      <c r="G711" s="33"/>
      <c r="H711" s="33"/>
      <c r="I711" s="33"/>
      <c r="J711" s="33"/>
      <c r="K711" s="33"/>
    </row>
    <row r="712" spans="1:11" ht="15.75">
      <c r="A712" s="33" t="s">
        <v>2244</v>
      </c>
      <c r="B712" s="33" t="s">
        <v>2076</v>
      </c>
      <c r="C712" s="33" t="s">
        <v>2245</v>
      </c>
      <c r="D712" s="33"/>
      <c r="E712" s="33"/>
      <c r="F712" s="33"/>
      <c r="G712" s="33"/>
      <c r="H712" s="33"/>
      <c r="I712" s="33"/>
      <c r="J712" s="33"/>
      <c r="K712" s="33"/>
    </row>
    <row r="713" spans="1:11" ht="15.75">
      <c r="A713" s="33" t="s">
        <v>2246</v>
      </c>
      <c r="B713" s="33" t="s">
        <v>2076</v>
      </c>
      <c r="C713" s="33" t="s">
        <v>82</v>
      </c>
      <c r="D713" s="33"/>
      <c r="E713" s="33"/>
      <c r="F713" s="33"/>
      <c r="G713" s="33"/>
      <c r="H713" s="33"/>
      <c r="I713" s="33"/>
      <c r="J713" s="33"/>
      <c r="K713" s="33"/>
    </row>
    <row r="714" spans="1:11" ht="15.75">
      <c r="A714" s="33" t="s">
        <v>2247</v>
      </c>
      <c r="B714" s="33" t="s">
        <v>2076</v>
      </c>
      <c r="C714" s="33" t="s">
        <v>2248</v>
      </c>
      <c r="D714" s="33"/>
      <c r="E714" s="33"/>
      <c r="F714" s="33"/>
      <c r="G714" s="33"/>
      <c r="H714" s="33"/>
      <c r="I714" s="33"/>
      <c r="J714" s="33"/>
      <c r="K714" s="33"/>
    </row>
    <row r="715" spans="1:11" ht="15.75">
      <c r="A715" s="33" t="s">
        <v>2249</v>
      </c>
      <c r="B715" s="33" t="s">
        <v>2076</v>
      </c>
      <c r="C715" s="33" t="s">
        <v>35</v>
      </c>
      <c r="D715" s="33"/>
      <c r="E715" s="33"/>
      <c r="F715" s="33"/>
      <c r="G715" s="33"/>
      <c r="H715" s="33"/>
      <c r="I715" s="33"/>
      <c r="J715" s="33"/>
      <c r="K715" s="33"/>
    </row>
    <row r="716" spans="1:11" ht="15.75">
      <c r="A716" s="33" t="s">
        <v>2250</v>
      </c>
      <c r="B716" s="33" t="s">
        <v>2076</v>
      </c>
      <c r="C716" s="33" t="s">
        <v>2251</v>
      </c>
      <c r="D716" s="33"/>
      <c r="E716" s="33"/>
      <c r="F716" s="33"/>
      <c r="G716" s="33"/>
      <c r="H716" s="33"/>
      <c r="I716" s="33"/>
      <c r="J716" s="33"/>
      <c r="K716" s="33"/>
    </row>
    <row r="717" spans="1:11" ht="15.75">
      <c r="A717" s="33" t="s">
        <v>2252</v>
      </c>
      <c r="B717" s="33" t="s">
        <v>2076</v>
      </c>
      <c r="C717" s="33" t="s">
        <v>739</v>
      </c>
      <c r="D717" s="33"/>
      <c r="E717" s="33"/>
      <c r="F717" s="33"/>
      <c r="G717" s="33"/>
      <c r="H717" s="33"/>
      <c r="I717" s="33"/>
      <c r="J717" s="33"/>
      <c r="K717" s="33"/>
    </row>
    <row r="718" spans="1:11" ht="15.75">
      <c r="A718" s="33" t="s">
        <v>2253</v>
      </c>
      <c r="B718" s="33" t="s">
        <v>2076</v>
      </c>
      <c r="C718" s="33" t="s">
        <v>409</v>
      </c>
      <c r="D718" s="33"/>
      <c r="E718" s="33"/>
      <c r="F718" s="33"/>
      <c r="G718" s="33"/>
      <c r="H718" s="33"/>
      <c r="I718" s="33"/>
      <c r="J718" s="33"/>
      <c r="K718" s="33"/>
    </row>
    <row r="719" spans="1:11" ht="15.75">
      <c r="A719" s="33" t="s">
        <v>2254</v>
      </c>
      <c r="B719" s="33" t="s">
        <v>2076</v>
      </c>
      <c r="C719" s="33" t="s">
        <v>7</v>
      </c>
      <c r="D719" s="33"/>
      <c r="E719" s="33"/>
      <c r="F719" s="33"/>
      <c r="G719" s="33"/>
      <c r="H719" s="33"/>
      <c r="I719" s="33"/>
      <c r="J719" s="33"/>
      <c r="K719" s="33"/>
    </row>
    <row r="720" spans="1:11" ht="15.75">
      <c r="A720" s="33" t="s">
        <v>2255</v>
      </c>
      <c r="B720" s="33" t="s">
        <v>2076</v>
      </c>
      <c r="C720" s="33" t="s">
        <v>2256</v>
      </c>
      <c r="D720" s="33"/>
      <c r="E720" s="33"/>
      <c r="F720" s="33"/>
      <c r="G720" s="33"/>
      <c r="H720" s="33"/>
      <c r="I720" s="33"/>
      <c r="J720" s="33"/>
      <c r="K720" s="33"/>
    </row>
    <row r="721" spans="1:11" ht="15.75">
      <c r="A721" s="33" t="s">
        <v>2257</v>
      </c>
      <c r="B721" s="33" t="s">
        <v>2076</v>
      </c>
      <c r="C721" s="33" t="s">
        <v>607</v>
      </c>
      <c r="D721" s="33"/>
      <c r="E721" s="33"/>
      <c r="F721" s="33"/>
      <c r="G721" s="33"/>
      <c r="H721" s="33"/>
      <c r="I721" s="33"/>
      <c r="J721" s="33"/>
      <c r="K721" s="33"/>
    </row>
    <row r="722" spans="1:11" ht="15.75">
      <c r="A722" s="33" t="s">
        <v>2258</v>
      </c>
      <c r="B722" s="33" t="s">
        <v>2076</v>
      </c>
      <c r="C722" s="33" t="s">
        <v>766</v>
      </c>
      <c r="D722" s="33"/>
      <c r="E722" s="33"/>
      <c r="F722" s="33"/>
      <c r="G722" s="33"/>
      <c r="H722" s="33"/>
      <c r="I722" s="33"/>
      <c r="J722" s="33"/>
      <c r="K722" s="33"/>
    </row>
    <row r="723" spans="1:11" ht="15.75">
      <c r="A723" s="33" t="s">
        <v>2259</v>
      </c>
      <c r="B723" s="33" t="s">
        <v>2076</v>
      </c>
      <c r="C723" s="33" t="s">
        <v>2260</v>
      </c>
      <c r="D723" s="33"/>
      <c r="E723" s="33"/>
      <c r="F723" s="33"/>
      <c r="G723" s="33"/>
      <c r="H723" s="33"/>
      <c r="I723" s="33"/>
      <c r="J723" s="33"/>
      <c r="K723" s="33"/>
    </row>
    <row r="724" spans="1:11" ht="15.75">
      <c r="A724" s="33" t="s">
        <v>2261</v>
      </c>
      <c r="B724" s="33" t="s">
        <v>2076</v>
      </c>
      <c r="C724" s="33" t="s">
        <v>868</v>
      </c>
      <c r="D724" s="33"/>
      <c r="E724" s="33"/>
      <c r="F724" s="33"/>
      <c r="G724" s="33"/>
      <c r="H724" s="33"/>
      <c r="I724" s="33"/>
      <c r="J724" s="33"/>
      <c r="K724" s="33"/>
    </row>
    <row r="725" spans="1:11" ht="15.75">
      <c r="A725" s="33" t="s">
        <v>2262</v>
      </c>
      <c r="B725" s="33" t="s">
        <v>2076</v>
      </c>
      <c r="C725" s="33" t="s">
        <v>2263</v>
      </c>
      <c r="D725" s="33"/>
      <c r="E725" s="33"/>
      <c r="F725" s="33"/>
      <c r="G725" s="33"/>
      <c r="H725" s="33"/>
      <c r="I725" s="33"/>
      <c r="J725" s="33"/>
      <c r="K725" s="33"/>
    </row>
    <row r="726" spans="1:11" ht="15.75">
      <c r="A726" s="33" t="s">
        <v>2264</v>
      </c>
      <c r="B726" s="33" t="s">
        <v>2076</v>
      </c>
      <c r="C726" s="33" t="s">
        <v>655</v>
      </c>
      <c r="D726" s="33"/>
      <c r="E726" s="33"/>
      <c r="F726" s="33"/>
      <c r="G726" s="33"/>
      <c r="H726" s="33"/>
      <c r="I726" s="33"/>
      <c r="J726" s="33"/>
      <c r="K726" s="33"/>
    </row>
    <row r="727" spans="1:11" ht="15.75">
      <c r="A727" s="33" t="s">
        <v>2265</v>
      </c>
      <c r="B727" s="33" t="s">
        <v>2076</v>
      </c>
      <c r="C727" s="33" t="s">
        <v>283</v>
      </c>
      <c r="D727" s="33"/>
      <c r="E727" s="33"/>
      <c r="F727" s="33"/>
      <c r="G727" s="33"/>
      <c r="H727" s="33"/>
      <c r="I727" s="33"/>
      <c r="J727" s="33"/>
      <c r="K727" s="33"/>
    </row>
    <row r="728" spans="1:11" ht="15.75">
      <c r="A728" s="33" t="s">
        <v>2266</v>
      </c>
      <c r="B728" s="33" t="s">
        <v>2076</v>
      </c>
      <c r="C728" s="33" t="s">
        <v>2267</v>
      </c>
      <c r="D728" s="33"/>
      <c r="E728" s="33"/>
      <c r="F728" s="33"/>
      <c r="G728" s="33"/>
      <c r="H728" s="33"/>
      <c r="I728" s="33"/>
      <c r="J728" s="33"/>
      <c r="K728" s="33"/>
    </row>
    <row r="729" spans="1:11" ht="15.75">
      <c r="A729" s="33" t="s">
        <v>2268</v>
      </c>
      <c r="B729" s="33" t="s">
        <v>2076</v>
      </c>
      <c r="C729" s="33" t="s">
        <v>325</v>
      </c>
      <c r="D729" s="33"/>
      <c r="E729" s="33"/>
      <c r="F729" s="33"/>
      <c r="G729" s="33"/>
      <c r="H729" s="33"/>
      <c r="I729" s="33"/>
      <c r="J729" s="33"/>
      <c r="K729" s="33"/>
    </row>
    <row r="730" spans="1:11" ht="15.75">
      <c r="A730" s="33" t="s">
        <v>2269</v>
      </c>
      <c r="B730" s="33" t="s">
        <v>2076</v>
      </c>
      <c r="C730" s="33" t="s">
        <v>637</v>
      </c>
      <c r="D730" s="33"/>
      <c r="E730" s="33"/>
      <c r="F730" s="33"/>
      <c r="G730" s="33"/>
      <c r="H730" s="33"/>
      <c r="I730" s="33"/>
      <c r="J730" s="33"/>
      <c r="K730" s="33"/>
    </row>
    <row r="731" spans="1:11" ht="15.75">
      <c r="A731" s="33" t="s">
        <v>2270</v>
      </c>
      <c r="B731" s="33" t="s">
        <v>2076</v>
      </c>
      <c r="C731" s="33" t="s">
        <v>847</v>
      </c>
      <c r="D731" s="33"/>
      <c r="E731" s="33"/>
      <c r="F731" s="33"/>
      <c r="G731" s="33"/>
      <c r="H731" s="33"/>
      <c r="I731" s="33"/>
      <c r="J731" s="33"/>
      <c r="K731" s="33"/>
    </row>
    <row r="732" spans="1:11" ht="15.75">
      <c r="A732" s="33" t="s">
        <v>2271</v>
      </c>
      <c r="B732" s="33" t="s">
        <v>2076</v>
      </c>
      <c r="C732" s="33" t="s">
        <v>784</v>
      </c>
      <c r="D732" s="33"/>
      <c r="E732" s="33"/>
      <c r="F732" s="33"/>
      <c r="G732" s="33"/>
      <c r="H732" s="33"/>
      <c r="I732" s="33"/>
      <c r="J732" s="33"/>
      <c r="K732" s="33"/>
    </row>
    <row r="733" spans="1:11" ht="15.75">
      <c r="A733" s="33" t="s">
        <v>2272</v>
      </c>
      <c r="B733" s="33" t="s">
        <v>2076</v>
      </c>
      <c r="C733" s="33" t="s">
        <v>796</v>
      </c>
      <c r="D733" s="33"/>
      <c r="E733" s="33"/>
      <c r="F733" s="33"/>
      <c r="G733" s="33"/>
      <c r="H733" s="33"/>
      <c r="I733" s="33"/>
      <c r="J733" s="33"/>
      <c r="K733" s="33"/>
    </row>
    <row r="734" spans="1:11" ht="15.75">
      <c r="A734" s="33" t="s">
        <v>2273</v>
      </c>
      <c r="B734" s="33" t="s">
        <v>2076</v>
      </c>
      <c r="C734" s="33" t="s">
        <v>2274</v>
      </c>
      <c r="D734" s="33"/>
      <c r="E734" s="33"/>
      <c r="F734" s="33"/>
      <c r="G734" s="33"/>
      <c r="H734" s="33"/>
      <c r="I734" s="33"/>
      <c r="J734" s="33"/>
      <c r="K734" s="33"/>
    </row>
    <row r="735" spans="1:11" ht="15.75">
      <c r="A735" s="33" t="s">
        <v>2275</v>
      </c>
      <c r="B735" s="33" t="s">
        <v>2076</v>
      </c>
      <c r="C735" s="33" t="s">
        <v>2276</v>
      </c>
      <c r="D735" s="33"/>
      <c r="E735" s="33"/>
      <c r="F735" s="33"/>
      <c r="G735" s="33"/>
      <c r="H735" s="33"/>
      <c r="I735" s="33"/>
      <c r="J735" s="33"/>
      <c r="K735" s="33"/>
    </row>
    <row r="736" spans="1:11" ht="15.75">
      <c r="A736" s="33" t="s">
        <v>2277</v>
      </c>
      <c r="B736" s="33" t="s">
        <v>2076</v>
      </c>
      <c r="C736" s="33" t="s">
        <v>72</v>
      </c>
      <c r="D736" s="33"/>
      <c r="E736" s="33"/>
      <c r="F736" s="33"/>
      <c r="G736" s="33"/>
      <c r="H736" s="33"/>
      <c r="I736" s="33"/>
      <c r="J736" s="33"/>
      <c r="K736" s="33"/>
    </row>
    <row r="737" spans="1:11" ht="15.75">
      <c r="A737" s="33" t="s">
        <v>2278</v>
      </c>
      <c r="B737" s="33" t="s">
        <v>2076</v>
      </c>
      <c r="C737" s="33" t="s">
        <v>475</v>
      </c>
      <c r="D737" s="33"/>
      <c r="E737" s="33"/>
      <c r="F737" s="33"/>
      <c r="G737" s="33"/>
      <c r="H737" s="33"/>
      <c r="I737" s="33"/>
      <c r="J737" s="33"/>
      <c r="K737" s="33"/>
    </row>
    <row r="738" spans="1:11" ht="15.75">
      <c r="A738" s="33" t="s">
        <v>2279</v>
      </c>
      <c r="B738" s="33" t="s">
        <v>2076</v>
      </c>
      <c r="C738" s="33" t="s">
        <v>2280</v>
      </c>
      <c r="D738" s="33"/>
      <c r="E738" s="33"/>
      <c r="F738" s="33"/>
      <c r="G738" s="33"/>
      <c r="H738" s="33"/>
      <c r="I738" s="33"/>
      <c r="J738" s="33"/>
      <c r="K738" s="33"/>
    </row>
    <row r="739" spans="1:11" ht="15.75">
      <c r="A739" s="33" t="s">
        <v>2281</v>
      </c>
      <c r="B739" s="33" t="s">
        <v>2076</v>
      </c>
      <c r="C739" s="33" t="s">
        <v>2282</v>
      </c>
      <c r="D739" s="33"/>
      <c r="E739" s="33"/>
      <c r="F739" s="33"/>
      <c r="G739" s="33"/>
      <c r="H739" s="33"/>
      <c r="I739" s="33"/>
      <c r="J739" s="33"/>
      <c r="K739" s="33"/>
    </row>
    <row r="740" spans="1:11" ht="15.75">
      <c r="A740" s="33" t="s">
        <v>2283</v>
      </c>
      <c r="B740" s="33" t="s">
        <v>2076</v>
      </c>
      <c r="C740" s="33" t="s">
        <v>239</v>
      </c>
      <c r="D740" s="33"/>
      <c r="E740" s="33"/>
      <c r="F740" s="33"/>
      <c r="G740" s="33"/>
      <c r="H740" s="33"/>
      <c r="I740" s="33"/>
      <c r="J740" s="33"/>
      <c r="K740" s="33"/>
    </row>
    <row r="741" spans="1:11" ht="15.75">
      <c r="A741" s="33" t="s">
        <v>2284</v>
      </c>
      <c r="B741" s="33" t="s">
        <v>2076</v>
      </c>
      <c r="C741" s="33" t="s">
        <v>53</v>
      </c>
      <c r="D741" s="33"/>
      <c r="E741" s="33"/>
      <c r="F741" s="33"/>
      <c r="G741" s="33"/>
      <c r="H741" s="33"/>
      <c r="I741" s="33"/>
      <c r="J741" s="33"/>
      <c r="K741" s="33"/>
    </row>
    <row r="742" spans="1:11" ht="15.75">
      <c r="A742" s="33" t="s">
        <v>2285</v>
      </c>
      <c r="B742" s="33" t="s">
        <v>2076</v>
      </c>
      <c r="C742" s="33" t="s">
        <v>2286</v>
      </c>
      <c r="D742" s="33"/>
      <c r="E742" s="33"/>
      <c r="F742" s="33"/>
      <c r="G742" s="33"/>
      <c r="H742" s="33"/>
      <c r="I742" s="33"/>
      <c r="J742" s="33"/>
      <c r="K742" s="33"/>
    </row>
    <row r="743" spans="1:11" ht="15.75">
      <c r="A743" s="33" t="s">
        <v>2287</v>
      </c>
      <c r="B743" s="33" t="s">
        <v>2076</v>
      </c>
      <c r="C743" s="33" t="s">
        <v>2288</v>
      </c>
      <c r="D743" s="33"/>
      <c r="E743" s="33"/>
      <c r="F743" s="33"/>
      <c r="G743" s="33"/>
      <c r="H743" s="33"/>
      <c r="I743" s="33"/>
      <c r="J743" s="33"/>
      <c r="K743" s="33"/>
    </row>
    <row r="744" spans="1:11" ht="15.75">
      <c r="A744" s="33" t="s">
        <v>2289</v>
      </c>
      <c r="B744" s="33" t="s">
        <v>2076</v>
      </c>
      <c r="C744" s="33" t="s">
        <v>610</v>
      </c>
      <c r="D744" s="33"/>
      <c r="E744" s="33"/>
      <c r="F744" s="33"/>
      <c r="G744" s="33"/>
      <c r="H744" s="33"/>
      <c r="I744" s="33"/>
      <c r="J744" s="33"/>
      <c r="K744" s="33"/>
    </row>
    <row r="745" spans="1:11" ht="15.75">
      <c r="A745" s="33" t="s">
        <v>2290</v>
      </c>
      <c r="B745" s="33" t="s">
        <v>2076</v>
      </c>
      <c r="C745" s="33" t="s">
        <v>586</v>
      </c>
      <c r="D745" s="33"/>
      <c r="E745" s="33"/>
      <c r="F745" s="33"/>
      <c r="G745" s="33"/>
      <c r="H745" s="33"/>
      <c r="I745" s="33"/>
      <c r="J745" s="33"/>
      <c r="K745" s="33"/>
    </row>
    <row r="746" spans="1:11" ht="15.75">
      <c r="A746" s="33" t="s">
        <v>2291</v>
      </c>
      <c r="B746" s="33" t="s">
        <v>2076</v>
      </c>
      <c r="C746" s="33" t="s">
        <v>640</v>
      </c>
      <c r="D746" s="33"/>
      <c r="E746" s="33"/>
      <c r="F746" s="33"/>
      <c r="G746" s="33"/>
      <c r="H746" s="33"/>
      <c r="I746" s="33"/>
      <c r="J746" s="33"/>
      <c r="K746" s="33"/>
    </row>
    <row r="747" spans="1:11" ht="15.75">
      <c r="A747" s="33" t="s">
        <v>2292</v>
      </c>
      <c r="B747" s="33" t="s">
        <v>2076</v>
      </c>
      <c r="C747" s="33" t="s">
        <v>583</v>
      </c>
      <c r="D747" s="33"/>
      <c r="E747" s="33"/>
      <c r="F747" s="33"/>
      <c r="G747" s="33"/>
      <c r="H747" s="33"/>
      <c r="I747" s="33"/>
      <c r="J747" s="33"/>
      <c r="K747" s="33"/>
    </row>
    <row r="748" spans="1:11" ht="15.75">
      <c r="A748" s="33" t="s">
        <v>2293</v>
      </c>
      <c r="B748" s="33" t="s">
        <v>2076</v>
      </c>
      <c r="C748" s="33" t="s">
        <v>2294</v>
      </c>
      <c r="D748" s="33"/>
      <c r="E748" s="33"/>
      <c r="F748" s="33"/>
      <c r="G748" s="33"/>
      <c r="H748" s="33"/>
      <c r="I748" s="33"/>
      <c r="J748" s="33"/>
      <c r="K748" s="33"/>
    </row>
    <row r="749" spans="1:11" ht="15.75">
      <c r="A749" s="33" t="s">
        <v>2295</v>
      </c>
      <c r="B749" s="33" t="s">
        <v>2076</v>
      </c>
      <c r="C749" s="33" t="s">
        <v>364</v>
      </c>
      <c r="D749" s="33"/>
      <c r="E749" s="33"/>
      <c r="F749" s="33"/>
      <c r="G749" s="33"/>
      <c r="H749" s="33"/>
      <c r="I749" s="33"/>
      <c r="J749" s="33"/>
      <c r="K749" s="33"/>
    </row>
    <row r="750" spans="1:11" ht="15.75">
      <c r="A750" s="33" t="s">
        <v>2296</v>
      </c>
      <c r="B750" s="33" t="s">
        <v>2076</v>
      </c>
      <c r="C750" s="33" t="s">
        <v>63</v>
      </c>
      <c r="D750" s="33"/>
      <c r="E750" s="33"/>
      <c r="F750" s="33"/>
      <c r="G750" s="33"/>
      <c r="H750" s="33"/>
      <c r="I750" s="33"/>
      <c r="J750" s="33"/>
      <c r="K750" s="33"/>
    </row>
    <row r="751" spans="1:11" ht="15.75">
      <c r="A751" s="33" t="s">
        <v>2297</v>
      </c>
      <c r="B751" s="33" t="s">
        <v>2076</v>
      </c>
      <c r="C751" s="33" t="s">
        <v>2298</v>
      </c>
      <c r="D751" s="33"/>
      <c r="E751" s="33"/>
      <c r="F751" s="33"/>
      <c r="G751" s="33"/>
      <c r="H751" s="33"/>
      <c r="I751" s="33"/>
      <c r="J751" s="33"/>
      <c r="K751" s="33"/>
    </row>
    <row r="752" spans="1:11" ht="15.75">
      <c r="A752" s="33" t="s">
        <v>2299</v>
      </c>
      <c r="B752" s="33" t="s">
        <v>2076</v>
      </c>
      <c r="C752" s="33" t="s">
        <v>199</v>
      </c>
      <c r="D752" s="33"/>
      <c r="E752" s="33"/>
      <c r="F752" s="33"/>
      <c r="G752" s="33"/>
      <c r="H752" s="33"/>
      <c r="I752" s="33"/>
      <c r="J752" s="33"/>
      <c r="K752" s="33"/>
    </row>
    <row r="753" spans="1:11" ht="15.75">
      <c r="A753" s="33" t="s">
        <v>2300</v>
      </c>
      <c r="B753" s="33" t="s">
        <v>2076</v>
      </c>
      <c r="C753" s="33" t="s">
        <v>191</v>
      </c>
      <c r="D753" s="33"/>
      <c r="E753" s="33"/>
      <c r="F753" s="33"/>
      <c r="G753" s="33"/>
      <c r="H753" s="33"/>
      <c r="I753" s="33"/>
      <c r="J753" s="33"/>
      <c r="K753" s="33"/>
    </row>
    <row r="754" spans="1:11" ht="15.75">
      <c r="A754" s="33" t="s">
        <v>2301</v>
      </c>
      <c r="B754" s="33" t="s">
        <v>2076</v>
      </c>
      <c r="C754" s="33" t="s">
        <v>706</v>
      </c>
      <c r="D754" s="33"/>
      <c r="E754" s="33"/>
      <c r="F754" s="33"/>
      <c r="G754" s="33"/>
      <c r="H754" s="33"/>
      <c r="I754" s="33"/>
      <c r="J754" s="33"/>
      <c r="K754" s="33"/>
    </row>
    <row r="755" spans="1:11" ht="15.75">
      <c r="A755" s="33" t="s">
        <v>2302</v>
      </c>
      <c r="B755" s="33" t="s">
        <v>2076</v>
      </c>
      <c r="C755" s="33" t="s">
        <v>535</v>
      </c>
      <c r="D755" s="33"/>
      <c r="E755" s="33"/>
      <c r="F755" s="33"/>
      <c r="G755" s="33"/>
      <c r="H755" s="33"/>
      <c r="I755" s="33"/>
      <c r="J755" s="33"/>
      <c r="K755" s="33"/>
    </row>
    <row r="756" spans="1:11" ht="15.75">
      <c r="A756" s="33" t="s">
        <v>2303</v>
      </c>
      <c r="B756" s="33" t="s">
        <v>2076</v>
      </c>
      <c r="C756" s="33" t="s">
        <v>2304</v>
      </c>
      <c r="D756" s="33"/>
      <c r="E756" s="33"/>
      <c r="F756" s="33"/>
      <c r="G756" s="33"/>
      <c r="H756" s="33"/>
      <c r="I756" s="33"/>
      <c r="J756" s="33"/>
      <c r="K756" s="33"/>
    </row>
    <row r="757" spans="1:11" ht="15.75">
      <c r="A757" s="33" t="s">
        <v>2305</v>
      </c>
      <c r="B757" s="33" t="s">
        <v>2076</v>
      </c>
      <c r="C757" s="33" t="s">
        <v>42</v>
      </c>
      <c r="D757" s="33"/>
      <c r="E757" s="33"/>
      <c r="F757" s="33"/>
      <c r="G757" s="33"/>
      <c r="H757" s="33"/>
      <c r="I757" s="33"/>
      <c r="J757" s="33"/>
      <c r="K757" s="33"/>
    </row>
    <row r="758" spans="1:11" ht="15.75">
      <c r="A758" s="33" t="s">
        <v>2306</v>
      </c>
      <c r="B758" s="33" t="s">
        <v>2076</v>
      </c>
      <c r="C758" s="33" t="s">
        <v>436</v>
      </c>
      <c r="D758" s="33"/>
      <c r="E758" s="33"/>
      <c r="F758" s="33"/>
      <c r="G758" s="33"/>
      <c r="H758" s="33"/>
      <c r="I758" s="33"/>
      <c r="J758" s="33"/>
      <c r="K758" s="33"/>
    </row>
    <row r="759" spans="1:11" ht="15.75">
      <c r="A759" s="33" t="s">
        <v>2307</v>
      </c>
      <c r="B759" s="33" t="s">
        <v>2076</v>
      </c>
      <c r="C759" s="33" t="s">
        <v>48</v>
      </c>
      <c r="D759" s="33"/>
      <c r="E759" s="33"/>
      <c r="F759" s="33"/>
      <c r="G759" s="33"/>
      <c r="H759" s="33"/>
      <c r="I759" s="33"/>
      <c r="J759" s="33"/>
      <c r="K759" s="33"/>
    </row>
    <row r="760" spans="1:11" ht="15.75">
      <c r="A760" s="33" t="s">
        <v>2308</v>
      </c>
      <c r="B760" s="33" t="s">
        <v>2076</v>
      </c>
      <c r="C760" s="33" t="s">
        <v>328</v>
      </c>
      <c r="D760" s="33"/>
      <c r="E760" s="33"/>
      <c r="F760" s="33"/>
      <c r="G760" s="33"/>
      <c r="H760" s="33"/>
      <c r="I760" s="33"/>
      <c r="J760" s="33"/>
      <c r="K760" s="33"/>
    </row>
    <row r="761" spans="1:11" ht="15.75">
      <c r="A761" s="33" t="s">
        <v>2309</v>
      </c>
      <c r="B761" s="33" t="s">
        <v>2076</v>
      </c>
      <c r="C761" s="33" t="s">
        <v>652</v>
      </c>
      <c r="D761" s="33"/>
      <c r="E761" s="33"/>
      <c r="F761" s="33"/>
      <c r="G761" s="33"/>
      <c r="H761" s="33"/>
      <c r="I761" s="33"/>
      <c r="J761" s="33"/>
      <c r="K761" s="33"/>
    </row>
    <row r="762" spans="1:11" ht="15.75">
      <c r="A762" s="33" t="s">
        <v>2310</v>
      </c>
      <c r="B762" s="33" t="s">
        <v>2076</v>
      </c>
      <c r="C762" s="33" t="s">
        <v>814</v>
      </c>
      <c r="D762" s="33"/>
      <c r="E762" s="33"/>
      <c r="F762" s="33"/>
      <c r="G762" s="33"/>
      <c r="H762" s="33"/>
      <c r="I762" s="33"/>
      <c r="J762" s="33"/>
      <c r="K762" s="33"/>
    </row>
    <row r="763" spans="1:11" ht="15.75">
      <c r="A763" s="33" t="s">
        <v>2311</v>
      </c>
      <c r="B763" s="33" t="s">
        <v>2076</v>
      </c>
      <c r="C763" s="33" t="s">
        <v>255</v>
      </c>
      <c r="D763" s="33"/>
      <c r="E763" s="33"/>
      <c r="F763" s="33"/>
      <c r="G763" s="33"/>
      <c r="H763" s="33"/>
      <c r="I763" s="33"/>
      <c r="J763" s="33"/>
      <c r="K763" s="33"/>
    </row>
    <row r="764" spans="1:11" ht="15.75">
      <c r="A764" s="33" t="s">
        <v>2312</v>
      </c>
      <c r="B764" s="33" t="s">
        <v>2076</v>
      </c>
      <c r="C764" s="33" t="s">
        <v>505</v>
      </c>
      <c r="D764" s="33"/>
      <c r="E764" s="33"/>
      <c r="F764" s="33"/>
      <c r="G764" s="33"/>
      <c r="H764" s="33"/>
      <c r="I764" s="33"/>
      <c r="J764" s="33"/>
      <c r="K764" s="33"/>
    </row>
    <row r="765" spans="1:11" ht="15.75">
      <c r="A765" s="33" t="s">
        <v>2313</v>
      </c>
      <c r="B765" s="33" t="s">
        <v>2076</v>
      </c>
      <c r="C765" s="33" t="s">
        <v>301</v>
      </c>
      <c r="D765" s="33"/>
      <c r="E765" s="33"/>
      <c r="F765" s="33"/>
      <c r="G765" s="33"/>
      <c r="H765" s="33"/>
      <c r="I765" s="33"/>
      <c r="J765" s="33"/>
      <c r="K765" s="33"/>
    </row>
    <row r="766" spans="1:11" ht="15.75">
      <c r="A766" s="33" t="s">
        <v>2314</v>
      </c>
      <c r="B766" s="33" t="s">
        <v>2076</v>
      </c>
      <c r="C766" s="33" t="s">
        <v>529</v>
      </c>
      <c r="D766" s="33"/>
      <c r="E766" s="33"/>
      <c r="F766" s="33"/>
      <c r="G766" s="33"/>
      <c r="H766" s="33"/>
      <c r="I766" s="33"/>
      <c r="J766" s="33"/>
      <c r="K766" s="33"/>
    </row>
    <row r="767" spans="1:11" ht="15.75">
      <c r="A767" s="33" t="s">
        <v>2315</v>
      </c>
      <c r="B767" s="33" t="s">
        <v>2076</v>
      </c>
      <c r="C767" s="33" t="s">
        <v>2316</v>
      </c>
      <c r="D767" s="33"/>
      <c r="E767" s="33"/>
      <c r="F767" s="33"/>
      <c r="G767" s="33"/>
      <c r="H767" s="33"/>
      <c r="I767" s="33"/>
      <c r="J767" s="33"/>
      <c r="K767" s="33"/>
    </row>
    <row r="768" spans="1:11" ht="15.75">
      <c r="A768" s="33" t="s">
        <v>2317</v>
      </c>
      <c r="B768" s="33" t="s">
        <v>2076</v>
      </c>
      <c r="C768" s="33" t="s">
        <v>550</v>
      </c>
      <c r="D768" s="33"/>
      <c r="E768" s="33"/>
      <c r="F768" s="33"/>
      <c r="G768" s="33"/>
      <c r="H768" s="33"/>
      <c r="I768" s="33"/>
      <c r="J768" s="33"/>
      <c r="K768" s="33"/>
    </row>
    <row r="769" spans="1:11" ht="15.75">
      <c r="A769" s="33" t="s">
        <v>2318</v>
      </c>
      <c r="B769" s="33" t="s">
        <v>2076</v>
      </c>
      <c r="C769" s="33" t="s">
        <v>673</v>
      </c>
      <c r="D769" s="33"/>
      <c r="E769" s="33"/>
      <c r="F769" s="33"/>
      <c r="G769" s="33"/>
      <c r="H769" s="33"/>
      <c r="I769" s="33"/>
      <c r="J769" s="33"/>
      <c r="K769" s="33"/>
    </row>
    <row r="770" spans="1:11" ht="15.75">
      <c r="A770" s="33" t="s">
        <v>2319</v>
      </c>
      <c r="B770" s="33" t="s">
        <v>2076</v>
      </c>
      <c r="C770" s="33" t="s">
        <v>2057</v>
      </c>
      <c r="D770" s="33"/>
      <c r="E770" s="33"/>
      <c r="F770" s="33"/>
      <c r="G770" s="33"/>
      <c r="H770" s="33"/>
      <c r="I770" s="33"/>
      <c r="J770" s="33"/>
      <c r="K770" s="33"/>
    </row>
    <row r="771" spans="1:11" ht="15.75">
      <c r="A771" s="33" t="s">
        <v>2320</v>
      </c>
      <c r="B771" s="33" t="s">
        <v>2076</v>
      </c>
      <c r="C771" s="33" t="s">
        <v>2321</v>
      </c>
      <c r="D771" s="33"/>
      <c r="E771" s="33"/>
      <c r="F771" s="33"/>
      <c r="G771" s="33"/>
      <c r="H771" s="33"/>
      <c r="I771" s="33"/>
      <c r="J771" s="33"/>
      <c r="K771" s="33"/>
    </row>
    <row r="772" spans="1:11" ht="15.75">
      <c r="A772" s="33" t="s">
        <v>2322</v>
      </c>
      <c r="B772" s="33" t="s">
        <v>2076</v>
      </c>
      <c r="C772" s="33" t="s">
        <v>451</v>
      </c>
      <c r="D772" s="33"/>
      <c r="E772" s="33"/>
      <c r="F772" s="33"/>
      <c r="G772" s="33"/>
      <c r="H772" s="33"/>
      <c r="I772" s="33"/>
      <c r="J772" s="33"/>
      <c r="K772" s="33"/>
    </row>
    <row r="773" spans="1:11" ht="15.75">
      <c r="A773" s="33" t="s">
        <v>2323</v>
      </c>
      <c r="B773" s="33" t="s">
        <v>2076</v>
      </c>
      <c r="C773" s="33" t="s">
        <v>691</v>
      </c>
      <c r="D773" s="33"/>
      <c r="E773" s="33"/>
      <c r="F773" s="33"/>
      <c r="G773" s="33"/>
      <c r="H773" s="33"/>
      <c r="I773" s="33"/>
      <c r="J773" s="33"/>
      <c r="K773" s="33"/>
    </row>
    <row r="774" spans="1:11" ht="15.75">
      <c r="A774" s="33" t="s">
        <v>2324</v>
      </c>
      <c r="B774" s="33" t="s">
        <v>2076</v>
      </c>
      <c r="C774" s="33" t="s">
        <v>724</v>
      </c>
      <c r="D774" s="33"/>
      <c r="E774" s="33"/>
      <c r="F774" s="33"/>
      <c r="G774" s="33"/>
      <c r="H774" s="33"/>
      <c r="I774" s="33"/>
      <c r="J774" s="33"/>
      <c r="K774" s="33"/>
    </row>
    <row r="775" spans="1:11" ht="15.75">
      <c r="A775" s="33" t="s">
        <v>2325</v>
      </c>
      <c r="B775" s="33" t="s">
        <v>2076</v>
      </c>
      <c r="C775" s="33" t="s">
        <v>2326</v>
      </c>
      <c r="D775" s="33"/>
      <c r="E775" s="33"/>
      <c r="F775" s="33"/>
      <c r="G775" s="33"/>
      <c r="H775" s="33"/>
      <c r="I775" s="33"/>
      <c r="J775" s="33"/>
      <c r="K775" s="33"/>
    </row>
    <row r="776" spans="1:11" ht="15.75">
      <c r="A776" s="33" t="s">
        <v>2327</v>
      </c>
      <c r="B776" s="33" t="s">
        <v>2076</v>
      </c>
      <c r="C776" s="33" t="s">
        <v>775</v>
      </c>
      <c r="D776" s="33"/>
      <c r="E776" s="33"/>
      <c r="F776" s="33"/>
      <c r="G776" s="33"/>
      <c r="H776" s="33"/>
      <c r="I776" s="33"/>
      <c r="J776" s="33"/>
      <c r="K776" s="33"/>
    </row>
    <row r="777" spans="1:11" ht="15.75">
      <c r="A777" s="33" t="s">
        <v>2328</v>
      </c>
      <c r="B777" s="33" t="s">
        <v>2076</v>
      </c>
      <c r="C777" s="33" t="s">
        <v>892</v>
      </c>
      <c r="D777" s="33"/>
      <c r="E777" s="33"/>
      <c r="F777" s="33"/>
      <c r="G777" s="33"/>
      <c r="H777" s="33"/>
      <c r="I777" s="33"/>
      <c r="J777" s="33"/>
      <c r="K777" s="33"/>
    </row>
    <row r="778" spans="1:11" ht="15.75">
      <c r="A778" s="33" t="s">
        <v>2329</v>
      </c>
      <c r="B778" s="33" t="s">
        <v>2076</v>
      </c>
      <c r="C778" s="33" t="s">
        <v>787</v>
      </c>
      <c r="D778" s="33"/>
      <c r="E778" s="33"/>
      <c r="F778" s="33"/>
      <c r="G778" s="33"/>
      <c r="H778" s="33"/>
      <c r="I778" s="33"/>
      <c r="J778" s="33"/>
      <c r="K778" s="33"/>
    </row>
    <row r="779" spans="1:11" ht="15.75">
      <c r="A779" s="33" t="s">
        <v>2330</v>
      </c>
      <c r="B779" s="33" t="s">
        <v>2076</v>
      </c>
      <c r="C779" s="33" t="s">
        <v>2331</v>
      </c>
      <c r="D779" s="33"/>
      <c r="E779" s="33"/>
      <c r="F779" s="33"/>
      <c r="G779" s="33"/>
      <c r="H779" s="33"/>
      <c r="I779" s="33"/>
      <c r="J779" s="33"/>
      <c r="K779" s="33"/>
    </row>
    <row r="780" spans="1:11" ht="15.75">
      <c r="A780" s="33" t="s">
        <v>2332</v>
      </c>
      <c r="B780" s="33" t="s">
        <v>2076</v>
      </c>
      <c r="C780" s="33" t="s">
        <v>163</v>
      </c>
      <c r="D780" s="33"/>
      <c r="E780" s="33"/>
      <c r="F780" s="33"/>
      <c r="G780" s="33"/>
      <c r="H780" s="33"/>
      <c r="I780" s="33"/>
      <c r="J780" s="33"/>
      <c r="K780" s="33"/>
    </row>
    <row r="781" spans="1:11" ht="15.75">
      <c r="A781" s="33" t="s">
        <v>2333</v>
      </c>
      <c r="B781" s="33" t="s">
        <v>2076</v>
      </c>
      <c r="C781" s="33" t="s">
        <v>2334</v>
      </c>
      <c r="D781" s="33"/>
      <c r="E781" s="33"/>
      <c r="F781" s="33"/>
      <c r="G781" s="33"/>
      <c r="H781" s="33"/>
      <c r="I781" s="33"/>
      <c r="J781" s="33"/>
      <c r="K781" s="33"/>
    </row>
    <row r="782" spans="1:11" ht="15.75">
      <c r="A782" s="33" t="s">
        <v>2335</v>
      </c>
      <c r="B782" s="33" t="s">
        <v>2076</v>
      </c>
      <c r="C782" s="33" t="s">
        <v>547</v>
      </c>
      <c r="D782" s="33"/>
      <c r="E782" s="33"/>
      <c r="F782" s="33"/>
      <c r="G782" s="33"/>
      <c r="H782" s="33"/>
      <c r="I782" s="33"/>
      <c r="J782" s="33"/>
      <c r="K782" s="33"/>
    </row>
    <row r="783" spans="1:11" ht="15.75">
      <c r="A783" s="33" t="s">
        <v>2336</v>
      </c>
      <c r="B783" s="33" t="s">
        <v>2076</v>
      </c>
      <c r="C783" s="33" t="s">
        <v>891</v>
      </c>
      <c r="D783" s="33"/>
      <c r="E783" s="33"/>
      <c r="F783" s="33"/>
      <c r="G783" s="33"/>
      <c r="H783" s="33"/>
      <c r="I783" s="33"/>
      <c r="J783" s="33"/>
      <c r="K783" s="33"/>
    </row>
    <row r="784" spans="1:11" ht="15.75">
      <c r="A784" s="33" t="s">
        <v>2337</v>
      </c>
      <c r="B784" s="33" t="s">
        <v>2076</v>
      </c>
      <c r="C784" s="33" t="s">
        <v>604</v>
      </c>
      <c r="D784" s="33"/>
      <c r="E784" s="33"/>
      <c r="F784" s="33"/>
      <c r="G784" s="33"/>
      <c r="H784" s="33"/>
      <c r="I784" s="33"/>
      <c r="J784" s="33"/>
      <c r="K784" s="33"/>
    </row>
    <row r="785" spans="1:11" ht="15.75">
      <c r="A785" s="33" t="s">
        <v>2338</v>
      </c>
      <c r="B785" s="33" t="s">
        <v>2076</v>
      </c>
      <c r="C785" s="33" t="s">
        <v>2339</v>
      </c>
      <c r="D785" s="33"/>
      <c r="E785" s="33"/>
      <c r="F785" s="33"/>
      <c r="G785" s="33"/>
      <c r="H785" s="33"/>
      <c r="I785" s="33"/>
      <c r="J785" s="33"/>
      <c r="K785" s="33"/>
    </row>
    <row r="786" spans="1:11" ht="15.75">
      <c r="A786" s="33" t="s">
        <v>2340</v>
      </c>
      <c r="B786" s="33" t="s">
        <v>2076</v>
      </c>
      <c r="C786" s="33" t="s">
        <v>167</v>
      </c>
      <c r="D786" s="33"/>
      <c r="E786" s="33"/>
      <c r="F786" s="33"/>
      <c r="G786" s="33"/>
      <c r="H786" s="33"/>
      <c r="I786" s="33"/>
      <c r="J786" s="33"/>
      <c r="K786" s="33"/>
    </row>
    <row r="787" spans="1:11" ht="15.75">
      <c r="A787" s="33" t="s">
        <v>2341</v>
      </c>
      <c r="B787" s="33" t="s">
        <v>2076</v>
      </c>
      <c r="C787" s="33" t="s">
        <v>742</v>
      </c>
      <c r="D787" s="33"/>
      <c r="E787" s="33"/>
      <c r="F787" s="33"/>
      <c r="G787" s="33"/>
      <c r="H787" s="33"/>
      <c r="I787" s="33"/>
      <c r="J787" s="33"/>
      <c r="K787" s="33"/>
    </row>
    <row r="788" spans="1:11" ht="15.75">
      <c r="A788" s="33" t="s">
        <v>2342</v>
      </c>
      <c r="B788" s="33" t="s">
        <v>2076</v>
      </c>
      <c r="C788" s="33" t="s">
        <v>2343</v>
      </c>
      <c r="D788" s="33"/>
      <c r="E788" s="33"/>
      <c r="F788" s="33"/>
      <c r="G788" s="33"/>
      <c r="H788" s="33"/>
      <c r="I788" s="33"/>
      <c r="J788" s="33"/>
      <c r="K788" s="33"/>
    </row>
    <row r="789" spans="1:11" ht="15.75">
      <c r="A789" s="33" t="s">
        <v>2344</v>
      </c>
      <c r="B789" s="33" t="s">
        <v>2076</v>
      </c>
      <c r="C789" s="33" t="s">
        <v>2345</v>
      </c>
      <c r="D789" s="33"/>
      <c r="E789" s="33"/>
      <c r="F789" s="33"/>
      <c r="G789" s="33"/>
      <c r="H789" s="33"/>
      <c r="I789" s="33"/>
      <c r="J789" s="33"/>
      <c r="K789" s="33"/>
    </row>
    <row r="790" spans="1:11" ht="15.75">
      <c r="A790" s="33" t="s">
        <v>2346</v>
      </c>
      <c r="B790" s="33" t="s">
        <v>2076</v>
      </c>
      <c r="C790" s="33" t="s">
        <v>2347</v>
      </c>
      <c r="D790" s="33"/>
      <c r="E790" s="33"/>
      <c r="F790" s="33"/>
      <c r="G790" s="33"/>
      <c r="H790" s="33"/>
      <c r="I790" s="33"/>
      <c r="J790" s="33"/>
      <c r="K790" s="33"/>
    </row>
    <row r="791" spans="1:11" ht="15.75">
      <c r="A791" s="33" t="s">
        <v>2348</v>
      </c>
      <c r="B791" s="33" t="s">
        <v>2076</v>
      </c>
      <c r="C791" s="33" t="s">
        <v>418</v>
      </c>
      <c r="D791" s="33"/>
      <c r="E791" s="33"/>
      <c r="F791" s="33"/>
      <c r="G791" s="33"/>
      <c r="H791" s="33"/>
      <c r="I791" s="33"/>
      <c r="J791" s="33"/>
      <c r="K791" s="33"/>
    </row>
    <row r="792" spans="1:11" ht="15.75">
      <c r="A792" s="33" t="s">
        <v>2349</v>
      </c>
      <c r="B792" s="33" t="s">
        <v>2076</v>
      </c>
      <c r="C792" s="33" t="s">
        <v>499</v>
      </c>
      <c r="D792" s="33"/>
      <c r="E792" s="33"/>
      <c r="F792" s="33"/>
      <c r="G792" s="33"/>
      <c r="H792" s="33"/>
      <c r="I792" s="33"/>
      <c r="J792" s="33"/>
      <c r="K792" s="33"/>
    </row>
    <row r="793" spans="1:11" ht="15.75">
      <c r="A793" s="33" t="s">
        <v>2350</v>
      </c>
      <c r="B793" s="33" t="s">
        <v>2076</v>
      </c>
      <c r="C793" s="33" t="s">
        <v>556</v>
      </c>
      <c r="D793" s="33"/>
      <c r="E793" s="33"/>
      <c r="F793" s="33"/>
      <c r="G793" s="33"/>
      <c r="H793" s="33"/>
      <c r="I793" s="33"/>
      <c r="J793" s="33"/>
      <c r="K793" s="33"/>
    </row>
    <row r="794" spans="1:11" ht="15.75">
      <c r="A794" s="33" t="s">
        <v>2351</v>
      </c>
      <c r="B794" s="33" t="s">
        <v>2076</v>
      </c>
      <c r="C794" s="33" t="s">
        <v>2352</v>
      </c>
      <c r="D794" s="33"/>
      <c r="E794" s="33"/>
      <c r="F794" s="33"/>
      <c r="G794" s="33"/>
      <c r="H794" s="33"/>
      <c r="I794" s="33"/>
      <c r="J794" s="33"/>
      <c r="K794" s="33"/>
    </row>
    <row r="795" spans="1:11" ht="15.75">
      <c r="A795" s="33" t="s">
        <v>2353</v>
      </c>
      <c r="B795" s="33" t="s">
        <v>2076</v>
      </c>
      <c r="C795" s="33" t="s">
        <v>370</v>
      </c>
      <c r="D795" s="33"/>
      <c r="E795" s="33"/>
      <c r="F795" s="33"/>
      <c r="G795" s="33"/>
      <c r="H795" s="33"/>
      <c r="I795" s="33"/>
      <c r="J795" s="33"/>
      <c r="K795" s="33"/>
    </row>
    <row r="796" spans="1:11" ht="15.75">
      <c r="A796" s="33" t="s">
        <v>2354</v>
      </c>
      <c r="B796" s="33" t="s">
        <v>2076</v>
      </c>
      <c r="C796" s="33" t="s">
        <v>445</v>
      </c>
      <c r="D796" s="33"/>
      <c r="E796" s="33"/>
      <c r="F796" s="33"/>
      <c r="G796" s="33"/>
      <c r="H796" s="33"/>
      <c r="I796" s="33"/>
      <c r="J796" s="33"/>
      <c r="K796" s="33"/>
    </row>
    <row r="797" spans="1:11" ht="15.75">
      <c r="A797" s="33" t="s">
        <v>2355</v>
      </c>
      <c r="B797" s="33" t="s">
        <v>2076</v>
      </c>
      <c r="C797" s="33" t="s">
        <v>841</v>
      </c>
      <c r="D797" s="33"/>
      <c r="E797" s="33"/>
      <c r="F797" s="33"/>
      <c r="G797" s="33"/>
      <c r="H797" s="33"/>
      <c r="I797" s="33"/>
      <c r="J797" s="33"/>
      <c r="K797" s="33"/>
    </row>
    <row r="798" spans="1:11" ht="15.75">
      <c r="A798" s="33" t="s">
        <v>2356</v>
      </c>
      <c r="B798" s="33" t="s">
        <v>2076</v>
      </c>
      <c r="C798" s="33" t="s">
        <v>412</v>
      </c>
      <c r="D798" s="33"/>
      <c r="E798" s="33"/>
      <c r="F798" s="33"/>
      <c r="G798" s="33"/>
      <c r="H798" s="33"/>
      <c r="I798" s="33"/>
      <c r="J798" s="33"/>
      <c r="K798" s="33"/>
    </row>
    <row r="799" spans="1:11" ht="15.75">
      <c r="A799" s="33" t="s">
        <v>2357</v>
      </c>
      <c r="B799" s="33" t="s">
        <v>2076</v>
      </c>
      <c r="C799" s="33" t="s">
        <v>850</v>
      </c>
      <c r="D799" s="33"/>
      <c r="E799" s="33"/>
      <c r="F799" s="33"/>
      <c r="G799" s="33"/>
      <c r="H799" s="33"/>
      <c r="I799" s="33"/>
      <c r="J799" s="33"/>
      <c r="K799" s="33"/>
    </row>
    <row r="800" spans="1:11" ht="15.75">
      <c r="A800" s="33" t="s">
        <v>2358</v>
      </c>
      <c r="B800" s="33" t="s">
        <v>2076</v>
      </c>
      <c r="C800" s="33" t="s">
        <v>304</v>
      </c>
      <c r="D800" s="33"/>
      <c r="E800" s="33"/>
      <c r="F800" s="33"/>
      <c r="G800" s="33"/>
      <c r="H800" s="33"/>
      <c r="I800" s="33"/>
      <c r="J800" s="33"/>
      <c r="K800" s="33"/>
    </row>
    <row r="801" spans="1:11" ht="15.75">
      <c r="A801" s="33" t="s">
        <v>2359</v>
      </c>
      <c r="B801" s="33" t="s">
        <v>2076</v>
      </c>
      <c r="C801" s="33" t="s">
        <v>700</v>
      </c>
      <c r="D801" s="33"/>
      <c r="E801" s="33"/>
      <c r="F801" s="33"/>
      <c r="G801" s="33"/>
      <c r="H801" s="33"/>
      <c r="I801" s="33"/>
      <c r="J801" s="33"/>
      <c r="K801" s="33"/>
    </row>
    <row r="802" spans="1:11" ht="15.75">
      <c r="A802" s="33" t="s">
        <v>2360</v>
      </c>
      <c r="B802" s="33" t="s">
        <v>2076</v>
      </c>
      <c r="C802" s="33" t="s">
        <v>251</v>
      </c>
      <c r="D802" s="33"/>
      <c r="E802" s="33"/>
      <c r="F802" s="33"/>
      <c r="G802" s="33"/>
      <c r="H802" s="33"/>
      <c r="I802" s="33"/>
      <c r="J802" s="33"/>
      <c r="K802" s="33"/>
    </row>
    <row r="803" spans="1:11" ht="15.75">
      <c r="A803" s="33" t="s">
        <v>2361</v>
      </c>
      <c r="B803" s="33" t="s">
        <v>2076</v>
      </c>
      <c r="C803" s="33" t="s">
        <v>130</v>
      </c>
      <c r="D803" s="33"/>
      <c r="E803" s="33"/>
      <c r="F803" s="33"/>
      <c r="G803" s="33"/>
      <c r="H803" s="33"/>
      <c r="I803" s="33"/>
      <c r="J803" s="33"/>
      <c r="K803" s="33"/>
    </row>
    <row r="804" spans="1:11" ht="15.75">
      <c r="A804" s="33" t="s">
        <v>2362</v>
      </c>
      <c r="B804" s="33" t="s">
        <v>2076</v>
      </c>
      <c r="C804" s="33" t="s">
        <v>718</v>
      </c>
      <c r="D804" s="33"/>
      <c r="E804" s="33"/>
      <c r="F804" s="33"/>
      <c r="G804" s="33"/>
      <c r="H804" s="33"/>
      <c r="I804" s="33"/>
      <c r="J804" s="33"/>
      <c r="K804" s="33"/>
    </row>
    <row r="805" spans="1:11" ht="15.75">
      <c r="A805" s="33" t="s">
        <v>2363</v>
      </c>
      <c r="B805" s="33" t="s">
        <v>2364</v>
      </c>
      <c r="C805" s="33" t="s">
        <v>385</v>
      </c>
      <c r="D805" s="33"/>
      <c r="E805" s="33"/>
      <c r="F805" s="33"/>
      <c r="G805" s="33"/>
      <c r="H805" s="33"/>
      <c r="I805" s="33"/>
      <c r="J805" s="33"/>
      <c r="K805" s="33"/>
    </row>
    <row r="806" spans="1:11" ht="15.75">
      <c r="A806" s="33" t="s">
        <v>2365</v>
      </c>
      <c r="B806" s="33" t="s">
        <v>2364</v>
      </c>
      <c r="C806" s="33" t="s">
        <v>643</v>
      </c>
      <c r="D806" s="33"/>
      <c r="E806" s="33"/>
      <c r="F806" s="33"/>
      <c r="G806" s="33"/>
      <c r="H806" s="33"/>
      <c r="I806" s="33"/>
      <c r="J806" s="33"/>
      <c r="K806" s="33"/>
    </row>
    <row r="807" spans="1:11" ht="15.75">
      <c r="A807" s="33" t="s">
        <v>2366</v>
      </c>
      <c r="B807" s="33" t="s">
        <v>2364</v>
      </c>
      <c r="C807" s="33" t="s">
        <v>92</v>
      </c>
      <c r="D807" s="33"/>
      <c r="E807" s="33"/>
      <c r="F807" s="33"/>
      <c r="G807" s="33"/>
      <c r="H807" s="33"/>
      <c r="I807" s="33"/>
      <c r="J807" s="33"/>
      <c r="K807" s="33"/>
    </row>
    <row r="808" spans="1:11" ht="15.75">
      <c r="A808" s="33" t="s">
        <v>2367</v>
      </c>
      <c r="B808" s="33" t="s">
        <v>2364</v>
      </c>
      <c r="C808" s="33" t="s">
        <v>307</v>
      </c>
      <c r="D808" s="33"/>
      <c r="E808" s="33"/>
      <c r="F808" s="33"/>
      <c r="G808" s="33"/>
      <c r="H808" s="33"/>
      <c r="I808" s="33"/>
      <c r="J808" s="33"/>
      <c r="K808" s="33"/>
    </row>
    <row r="809" spans="1:11" ht="15.75">
      <c r="A809" s="33" t="s">
        <v>2368</v>
      </c>
      <c r="B809" s="33" t="s">
        <v>2364</v>
      </c>
      <c r="C809" s="33" t="s">
        <v>802</v>
      </c>
      <c r="D809" s="33"/>
      <c r="E809" s="33"/>
      <c r="F809" s="33"/>
      <c r="G809" s="33"/>
      <c r="H809" s="33"/>
      <c r="I809" s="33"/>
      <c r="J809" s="33"/>
      <c r="K809" s="33"/>
    </row>
    <row r="810" spans="1:11" ht="15.75">
      <c r="A810" s="33" t="s">
        <v>2369</v>
      </c>
      <c r="B810" s="33" t="s">
        <v>2364</v>
      </c>
      <c r="C810" s="33" t="s">
        <v>2370</v>
      </c>
      <c r="D810" s="33"/>
      <c r="E810" s="33"/>
      <c r="F810" s="33"/>
      <c r="G810" s="33"/>
      <c r="H810" s="33"/>
      <c r="I810" s="33"/>
      <c r="J810" s="33"/>
      <c r="K810" s="33"/>
    </row>
    <row r="811" spans="1:11" ht="15.75">
      <c r="A811" s="33" t="s">
        <v>2371</v>
      </c>
      <c r="B811" s="33" t="s">
        <v>2364</v>
      </c>
      <c r="C811" s="33" t="s">
        <v>2372</v>
      </c>
      <c r="D811" s="33"/>
      <c r="E811" s="33"/>
      <c r="F811" s="33"/>
      <c r="G811" s="33"/>
      <c r="H811" s="33"/>
      <c r="I811" s="33"/>
      <c r="J811" s="33"/>
      <c r="K811" s="33"/>
    </row>
    <row r="812" spans="1:11" ht="15.75">
      <c r="A812" s="33" t="s">
        <v>2373</v>
      </c>
      <c r="B812" s="33" t="s">
        <v>2364</v>
      </c>
      <c r="C812" s="33" t="s">
        <v>118</v>
      </c>
      <c r="D812" s="33"/>
      <c r="E812" s="33"/>
      <c r="F812" s="33"/>
      <c r="G812" s="33"/>
      <c r="H812" s="33"/>
      <c r="I812" s="33"/>
      <c r="J812" s="33"/>
      <c r="K812" s="33"/>
    </row>
    <row r="813" spans="1:11" ht="15.75">
      <c r="A813" s="33" t="s">
        <v>2374</v>
      </c>
      <c r="B813" s="33" t="s">
        <v>2364</v>
      </c>
      <c r="C813" s="33" t="s">
        <v>18</v>
      </c>
      <c r="D813" s="33"/>
      <c r="E813" s="33"/>
      <c r="F813" s="33"/>
      <c r="G813" s="33"/>
      <c r="H813" s="33"/>
      <c r="I813" s="33"/>
      <c r="J813" s="33"/>
      <c r="K813" s="33"/>
    </row>
    <row r="814" spans="1:11" ht="15.75">
      <c r="A814" s="33" t="s">
        <v>2375</v>
      </c>
      <c r="B814" s="33" t="s">
        <v>2364</v>
      </c>
      <c r="C814" s="33" t="s">
        <v>894</v>
      </c>
      <c r="D814" s="33"/>
      <c r="E814" s="33"/>
      <c r="F814" s="33"/>
      <c r="G814" s="33"/>
      <c r="H814" s="33"/>
      <c r="I814" s="33"/>
      <c r="J814" s="33"/>
      <c r="K814" s="33"/>
    </row>
    <row r="815" spans="1:11" ht="15.75">
      <c r="A815" s="33" t="s">
        <v>2376</v>
      </c>
      <c r="B815" s="33" t="s">
        <v>2364</v>
      </c>
      <c r="C815" s="33" t="s">
        <v>631</v>
      </c>
      <c r="D815" s="33"/>
      <c r="E815" s="33"/>
      <c r="F815" s="33"/>
      <c r="G815" s="33"/>
      <c r="H815" s="33"/>
      <c r="I815" s="33"/>
      <c r="J815" s="33"/>
      <c r="K815" s="33"/>
    </row>
    <row r="816" spans="1:11" ht="15.75">
      <c r="A816" s="33" t="s">
        <v>2377</v>
      </c>
      <c r="B816" s="33" t="s">
        <v>2364</v>
      </c>
      <c r="C816" s="33" t="s">
        <v>897</v>
      </c>
      <c r="D816" s="33"/>
      <c r="E816" s="33"/>
      <c r="F816" s="33"/>
      <c r="G816" s="33"/>
      <c r="H816" s="33"/>
      <c r="I816" s="33"/>
      <c r="J816" s="33"/>
      <c r="K816" s="33"/>
    </row>
    <row r="817" spans="1:11" ht="15.75">
      <c r="A817" s="33" t="s">
        <v>2378</v>
      </c>
      <c r="B817" s="33" t="s">
        <v>2364</v>
      </c>
      <c r="C817" s="33" t="s">
        <v>2379</v>
      </c>
      <c r="D817" s="33"/>
      <c r="E817" s="33"/>
      <c r="F817" s="33"/>
      <c r="G817" s="33"/>
      <c r="H817" s="33"/>
      <c r="I817" s="33"/>
      <c r="J817" s="33"/>
      <c r="K817" s="33"/>
    </row>
    <row r="818" spans="1:11" ht="15.75">
      <c r="A818" s="33" t="s">
        <v>2380</v>
      </c>
      <c r="B818" s="33" t="s">
        <v>2364</v>
      </c>
      <c r="C818" s="33" t="s">
        <v>460</v>
      </c>
      <c r="D818" s="33"/>
      <c r="E818" s="33"/>
      <c r="F818" s="33"/>
      <c r="G818" s="33"/>
      <c r="H818" s="33"/>
      <c r="I818" s="33"/>
      <c r="J818" s="33"/>
      <c r="K818" s="33"/>
    </row>
    <row r="819" spans="1:11" ht="15.75">
      <c r="A819" s="33" t="s">
        <v>2381</v>
      </c>
      <c r="B819" s="33" t="s">
        <v>2364</v>
      </c>
      <c r="C819" s="33" t="s">
        <v>682</v>
      </c>
      <c r="D819" s="33"/>
      <c r="E819" s="33"/>
      <c r="F819" s="33"/>
      <c r="G819" s="33"/>
      <c r="H819" s="33"/>
      <c r="I819" s="33"/>
      <c r="J819" s="33"/>
      <c r="K819" s="33"/>
    </row>
    <row r="820" spans="1:11" ht="15.75">
      <c r="A820" s="33" t="s">
        <v>2382</v>
      </c>
      <c r="B820" s="33" t="s">
        <v>2364</v>
      </c>
      <c r="C820" s="33" t="s">
        <v>832</v>
      </c>
      <c r="D820" s="33"/>
      <c r="E820" s="33"/>
      <c r="F820" s="33"/>
      <c r="G820" s="33"/>
      <c r="H820" s="33"/>
      <c r="I820" s="33"/>
      <c r="J820" s="33"/>
      <c r="K820" s="33"/>
    </row>
    <row r="821" spans="1:11" ht="15.75">
      <c r="A821" s="33" t="s">
        <v>2383</v>
      </c>
      <c r="B821" s="33" t="s">
        <v>2364</v>
      </c>
      <c r="C821" s="33" t="s">
        <v>598</v>
      </c>
      <c r="D821" s="33"/>
      <c r="E821" s="33"/>
      <c r="F821" s="33"/>
      <c r="G821" s="33"/>
      <c r="H821" s="33"/>
      <c r="I821" s="33"/>
      <c r="J821" s="33"/>
      <c r="K821" s="33"/>
    </row>
    <row r="822" spans="1:11" ht="15.75">
      <c r="A822" s="33" t="s">
        <v>2384</v>
      </c>
      <c r="B822" s="33" t="s">
        <v>2364</v>
      </c>
      <c r="C822" s="33" t="s">
        <v>757</v>
      </c>
      <c r="D822" s="33"/>
      <c r="E822" s="33"/>
      <c r="F822" s="33"/>
      <c r="G822" s="33"/>
      <c r="H822" s="33"/>
      <c r="I822" s="33"/>
      <c r="J822" s="33"/>
      <c r="K822" s="33"/>
    </row>
    <row r="823" spans="1:11" ht="15.75">
      <c r="A823" s="33" t="s">
        <v>2385</v>
      </c>
      <c r="B823" s="33" t="s">
        <v>2364</v>
      </c>
      <c r="C823" s="33" t="s">
        <v>926</v>
      </c>
      <c r="D823" s="33"/>
      <c r="E823" s="33"/>
      <c r="F823" s="33"/>
      <c r="G823" s="33"/>
      <c r="H823" s="33"/>
      <c r="I823" s="33"/>
      <c r="J823" s="33"/>
      <c r="K823" s="33"/>
    </row>
    <row r="824" spans="1:11" ht="15.75">
      <c r="A824" s="33" t="s">
        <v>2386</v>
      </c>
      <c r="B824" s="33" t="s">
        <v>2364</v>
      </c>
      <c r="C824" s="33" t="s">
        <v>2387</v>
      </c>
      <c r="D824" s="33"/>
      <c r="E824" s="33"/>
      <c r="F824" s="33"/>
      <c r="G824" s="33"/>
      <c r="H824" s="33"/>
      <c r="I824" s="33"/>
      <c r="J824" s="33"/>
      <c r="K824" s="33"/>
    </row>
    <row r="825" spans="1:11" ht="15.75">
      <c r="A825" s="33" t="s">
        <v>2388</v>
      </c>
      <c r="B825" s="33" t="s">
        <v>2364</v>
      </c>
      <c r="C825" s="33" t="s">
        <v>2389</v>
      </c>
      <c r="D825" s="33"/>
      <c r="E825" s="33"/>
      <c r="F825" s="33"/>
      <c r="G825" s="33"/>
      <c r="H825" s="33"/>
      <c r="I825" s="33"/>
      <c r="J825" s="33"/>
      <c r="K825" s="33"/>
    </row>
    <row r="826" spans="1:11" ht="15.75">
      <c r="A826" s="33" t="s">
        <v>2390</v>
      </c>
      <c r="B826" s="33" t="s">
        <v>2364</v>
      </c>
      <c r="C826" s="33" t="s">
        <v>793</v>
      </c>
      <c r="D826" s="33"/>
      <c r="E826" s="33"/>
      <c r="F826" s="33"/>
      <c r="G826" s="33"/>
      <c r="H826" s="33"/>
      <c r="I826" s="33"/>
      <c r="J826" s="33"/>
      <c r="K826" s="33"/>
    </row>
    <row r="827" spans="1:11" ht="15.75">
      <c r="A827" s="33" t="s">
        <v>2391</v>
      </c>
      <c r="B827" s="33" t="s">
        <v>2364</v>
      </c>
      <c r="C827" s="33" t="s">
        <v>844</v>
      </c>
      <c r="D827" s="33"/>
      <c r="E827" s="33"/>
      <c r="F827" s="33"/>
      <c r="G827" s="33"/>
      <c r="H827" s="33"/>
      <c r="I827" s="33"/>
      <c r="J827" s="33"/>
      <c r="K827" s="33"/>
    </row>
    <row r="828" spans="1:11" ht="15.75">
      <c r="A828" s="33" t="s">
        <v>2392</v>
      </c>
      <c r="B828" s="33" t="s">
        <v>2364</v>
      </c>
      <c r="C828" s="33" t="s">
        <v>295</v>
      </c>
      <c r="D828" s="33"/>
      <c r="E828" s="33"/>
      <c r="F828" s="33"/>
      <c r="G828" s="33"/>
      <c r="H828" s="33"/>
      <c r="I828" s="33"/>
      <c r="J828" s="33"/>
      <c r="K828" s="33"/>
    </row>
    <row r="829" spans="1:11" ht="15.75">
      <c r="A829" s="33" t="s">
        <v>2393</v>
      </c>
      <c r="B829" s="33" t="s">
        <v>2364</v>
      </c>
      <c r="C829" s="33" t="s">
        <v>601</v>
      </c>
      <c r="D829" s="33"/>
      <c r="E829" s="33"/>
      <c r="F829" s="33"/>
      <c r="G829" s="33"/>
      <c r="H829" s="33"/>
      <c r="I829" s="33"/>
      <c r="J829" s="33"/>
      <c r="K829" s="33"/>
    </row>
    <row r="830" spans="1:11" ht="15.75">
      <c r="A830" s="33" t="s">
        <v>2394</v>
      </c>
      <c r="B830" s="33" t="s">
        <v>2364</v>
      </c>
      <c r="C830" s="33" t="s">
        <v>46</v>
      </c>
      <c r="D830" s="33"/>
      <c r="E830" s="33"/>
      <c r="F830" s="33"/>
      <c r="G830" s="33"/>
      <c r="H830" s="33"/>
      <c r="I830" s="33"/>
      <c r="J830" s="33"/>
      <c r="K830" s="33"/>
    </row>
    <row r="831" spans="1:11" ht="15.75">
      <c r="A831" s="33" t="s">
        <v>2395</v>
      </c>
      <c r="B831" s="33" t="s">
        <v>2364</v>
      </c>
      <c r="C831" s="33" t="s">
        <v>574</v>
      </c>
      <c r="D831" s="33"/>
      <c r="E831" s="33"/>
      <c r="F831" s="33"/>
      <c r="G831" s="33"/>
      <c r="H831" s="33"/>
      <c r="I831" s="33"/>
      <c r="J831" s="33"/>
      <c r="K831" s="33"/>
    </row>
    <row r="832" spans="1:11" ht="15.75">
      <c r="A832" s="33" t="s">
        <v>2396</v>
      </c>
      <c r="B832" s="33" t="s">
        <v>2364</v>
      </c>
      <c r="C832" s="33" t="s">
        <v>2397</v>
      </c>
      <c r="D832" s="33"/>
      <c r="E832" s="33"/>
      <c r="F832" s="33"/>
      <c r="G832" s="33"/>
      <c r="H832" s="33"/>
      <c r="I832" s="33"/>
      <c r="J832" s="33"/>
      <c r="K832" s="33"/>
    </row>
    <row r="833" spans="1:11" ht="15.75">
      <c r="A833" s="33" t="s">
        <v>2398</v>
      </c>
      <c r="B833" s="33" t="s">
        <v>2364</v>
      </c>
      <c r="C833" s="33" t="s">
        <v>727</v>
      </c>
      <c r="D833" s="33"/>
      <c r="E833" s="33"/>
      <c r="F833" s="33"/>
      <c r="G833" s="33"/>
      <c r="H833" s="33"/>
      <c r="I833" s="33"/>
      <c r="J833" s="33"/>
      <c r="K833" s="33"/>
    </row>
    <row r="834" spans="1:11" ht="15.75">
      <c r="A834" s="33" t="s">
        <v>2399</v>
      </c>
      <c r="B834" s="33" t="s">
        <v>2364</v>
      </c>
      <c r="C834" s="33" t="s">
        <v>628</v>
      </c>
      <c r="D834" s="33"/>
      <c r="E834" s="33"/>
      <c r="F834" s="33"/>
      <c r="G834" s="33"/>
      <c r="H834" s="33"/>
      <c r="I834" s="33"/>
      <c r="J834" s="33"/>
      <c r="K834" s="33"/>
    </row>
    <row r="835" spans="1:11" ht="15.75">
      <c r="A835" s="33" t="s">
        <v>2400</v>
      </c>
      <c r="B835" s="33" t="s">
        <v>2364</v>
      </c>
      <c r="C835" s="33" t="s">
        <v>397</v>
      </c>
      <c r="D835" s="33"/>
      <c r="E835" s="33"/>
      <c r="F835" s="33"/>
      <c r="G835" s="33"/>
      <c r="H835" s="33"/>
      <c r="I835" s="33"/>
      <c r="J835" s="33"/>
      <c r="K835" s="33"/>
    </row>
    <row r="836" spans="1:11" ht="15.75">
      <c r="A836" s="33" t="s">
        <v>2401</v>
      </c>
      <c r="B836" s="33" t="s">
        <v>2364</v>
      </c>
      <c r="C836" s="33" t="s">
        <v>179</v>
      </c>
      <c r="D836" s="33"/>
      <c r="E836" s="33"/>
      <c r="F836" s="33"/>
      <c r="G836" s="33"/>
      <c r="H836" s="33"/>
      <c r="I836" s="33"/>
      <c r="J836" s="33"/>
      <c r="K836" s="33"/>
    </row>
    <row r="837" spans="1:11" ht="15.75">
      <c r="A837" s="33" t="s">
        <v>2402</v>
      </c>
      <c r="B837" s="33" t="s">
        <v>2364</v>
      </c>
      <c r="C837" s="33" t="s">
        <v>2403</v>
      </c>
      <c r="D837" s="33"/>
      <c r="E837" s="33"/>
      <c r="F837" s="33"/>
      <c r="G837" s="33"/>
      <c r="H837" s="33"/>
      <c r="I837" s="33"/>
      <c r="J837" s="33"/>
      <c r="K837" s="33"/>
    </row>
    <row r="838" spans="1:11" ht="15.75">
      <c r="A838" s="33" t="s">
        <v>2404</v>
      </c>
      <c r="B838" s="33" t="s">
        <v>2364</v>
      </c>
      <c r="C838" s="33" t="s">
        <v>454</v>
      </c>
      <c r="D838" s="33"/>
      <c r="E838" s="33"/>
      <c r="F838" s="33"/>
      <c r="G838" s="33"/>
      <c r="H838" s="33"/>
      <c r="I838" s="33"/>
      <c r="J838" s="33"/>
      <c r="K838" s="33"/>
    </row>
    <row r="839" spans="1:11" ht="15.75">
      <c r="A839" s="33" t="s">
        <v>2405</v>
      </c>
      <c r="B839" s="33" t="s">
        <v>2364</v>
      </c>
      <c r="C839" s="33" t="s">
        <v>2406</v>
      </c>
      <c r="D839" s="33"/>
      <c r="E839" s="33"/>
      <c r="F839" s="33"/>
      <c r="G839" s="33"/>
      <c r="H839" s="33"/>
      <c r="I839" s="33"/>
      <c r="J839" s="33"/>
      <c r="K839" s="33"/>
    </row>
    <row r="840" spans="1:11" ht="15.75">
      <c r="A840" s="33" t="s">
        <v>2407</v>
      </c>
      <c r="B840" s="33" t="s">
        <v>2364</v>
      </c>
      <c r="C840" s="33" t="s">
        <v>709</v>
      </c>
      <c r="D840" s="33"/>
      <c r="E840" s="33"/>
      <c r="F840" s="33"/>
      <c r="G840" s="33"/>
      <c r="H840" s="33"/>
      <c r="I840" s="33"/>
      <c r="J840" s="33"/>
      <c r="K840" s="33"/>
    </row>
    <row r="841" spans="1:11" ht="15.75">
      <c r="A841" s="33" t="s">
        <v>2408</v>
      </c>
      <c r="B841" s="33" t="s">
        <v>2364</v>
      </c>
      <c r="C841" s="33" t="s">
        <v>520</v>
      </c>
      <c r="D841" s="33"/>
      <c r="E841" s="33"/>
      <c r="F841" s="33"/>
      <c r="G841" s="33"/>
      <c r="H841" s="33"/>
      <c r="I841" s="33"/>
      <c r="J841" s="33"/>
      <c r="K841" s="33"/>
    </row>
    <row r="842" spans="1:11" ht="15.75">
      <c r="A842" s="33" t="s">
        <v>2409</v>
      </c>
      <c r="B842" s="33" t="s">
        <v>2364</v>
      </c>
      <c r="C842" s="33" t="s">
        <v>421</v>
      </c>
      <c r="D842" s="33"/>
      <c r="E842" s="33"/>
      <c r="F842" s="33"/>
      <c r="G842" s="33"/>
      <c r="H842" s="33"/>
      <c r="I842" s="33"/>
      <c r="J842" s="33"/>
      <c r="K842" s="33"/>
    </row>
    <row r="843" spans="1:11" ht="15.75">
      <c r="A843" s="33" t="s">
        <v>2410</v>
      </c>
      <c r="B843" s="33" t="s">
        <v>2364</v>
      </c>
      <c r="C843" s="33" t="s">
        <v>565</v>
      </c>
      <c r="D843" s="33"/>
      <c r="E843" s="33"/>
      <c r="F843" s="33"/>
      <c r="G843" s="33"/>
      <c r="H843" s="33"/>
      <c r="I843" s="33"/>
      <c r="J843" s="33"/>
      <c r="K843" s="33"/>
    </row>
    <row r="844" spans="1:11" ht="15.75">
      <c r="A844" s="33" t="s">
        <v>2411</v>
      </c>
      <c r="B844" s="33" t="s">
        <v>2364</v>
      </c>
      <c r="C844" s="33" t="s">
        <v>670</v>
      </c>
      <c r="D844" s="33"/>
      <c r="E844" s="33"/>
      <c r="F844" s="33"/>
      <c r="G844" s="33"/>
      <c r="H844" s="33"/>
      <c r="I844" s="33"/>
      <c r="J844" s="33"/>
      <c r="K844" s="33"/>
    </row>
    <row r="845" spans="1:11" ht="15.75">
      <c r="A845" s="33" t="s">
        <v>2412</v>
      </c>
      <c r="B845" s="33" t="s">
        <v>2364</v>
      </c>
      <c r="C845" s="33" t="s">
        <v>52</v>
      </c>
      <c r="D845" s="33"/>
      <c r="E845" s="33"/>
      <c r="F845" s="33"/>
      <c r="G845" s="33"/>
      <c r="H845" s="33"/>
      <c r="I845" s="33"/>
      <c r="J845" s="33"/>
      <c r="K845" s="33"/>
    </row>
    <row r="846" spans="1:11" ht="15.75">
      <c r="A846" s="33" t="s">
        <v>2413</v>
      </c>
      <c r="B846" s="33" t="s">
        <v>2364</v>
      </c>
      <c r="C846" s="33" t="s">
        <v>171</v>
      </c>
      <c r="D846" s="33"/>
      <c r="E846" s="33"/>
      <c r="F846" s="33"/>
      <c r="G846" s="33"/>
      <c r="H846" s="33"/>
      <c r="I846" s="33"/>
      <c r="J846" s="33"/>
      <c r="K846" s="33"/>
    </row>
    <row r="847" spans="1:11" ht="15.75">
      <c r="A847" s="33" t="s">
        <v>2414</v>
      </c>
      <c r="B847" s="33" t="s">
        <v>2364</v>
      </c>
      <c r="C847" s="33" t="s">
        <v>619</v>
      </c>
      <c r="D847" s="33"/>
      <c r="E847" s="33"/>
      <c r="F847" s="33"/>
      <c r="G847" s="33"/>
      <c r="H847" s="33"/>
      <c r="I847" s="33"/>
      <c r="J847" s="33"/>
      <c r="K847" s="33"/>
    </row>
    <row r="848" spans="1:11" ht="15.75">
      <c r="A848" s="33" t="s">
        <v>2415</v>
      </c>
      <c r="B848" s="33" t="s">
        <v>2364</v>
      </c>
      <c r="C848" s="33" t="s">
        <v>481</v>
      </c>
      <c r="D848" s="33"/>
      <c r="E848" s="33"/>
      <c r="F848" s="33"/>
      <c r="G848" s="33"/>
      <c r="H848" s="33"/>
      <c r="I848" s="33"/>
      <c r="J848" s="33"/>
      <c r="K848" s="33"/>
    </row>
    <row r="849" spans="1:11" ht="15.75">
      <c r="A849" s="33" t="s">
        <v>2416</v>
      </c>
      <c r="B849" s="33" t="s">
        <v>2364</v>
      </c>
      <c r="C849" s="33" t="s">
        <v>271</v>
      </c>
      <c r="D849" s="33"/>
      <c r="E849" s="33"/>
      <c r="F849" s="33"/>
      <c r="G849" s="33"/>
      <c r="H849" s="33"/>
      <c r="I849" s="33"/>
      <c r="J849" s="33"/>
      <c r="K849" s="33"/>
    </row>
    <row r="850" spans="1:11" ht="15.75">
      <c r="A850" s="33" t="s">
        <v>2417</v>
      </c>
      <c r="B850" s="33" t="s">
        <v>2364</v>
      </c>
      <c r="C850" s="33" t="s">
        <v>838</v>
      </c>
      <c r="D850" s="33"/>
      <c r="E850" s="33"/>
      <c r="F850" s="33"/>
      <c r="G850" s="33"/>
      <c r="H850" s="33"/>
      <c r="I850" s="33"/>
      <c r="J850" s="33"/>
      <c r="K850" s="33"/>
    </row>
    <row r="851" spans="1:11" ht="15.75">
      <c r="A851" s="33" t="s">
        <v>2418</v>
      </c>
      <c r="B851" s="33" t="s">
        <v>2364</v>
      </c>
      <c r="C851" s="33" t="s">
        <v>2419</v>
      </c>
      <c r="D851" s="33"/>
      <c r="E851" s="33"/>
      <c r="F851" s="33"/>
      <c r="G851" s="33"/>
      <c r="H851" s="33"/>
      <c r="I851" s="33"/>
      <c r="J851" s="33"/>
      <c r="K851" s="33"/>
    </row>
    <row r="852" spans="1:11" ht="15.75">
      <c r="A852" s="33" t="s">
        <v>2420</v>
      </c>
      <c r="B852" s="33" t="s">
        <v>2364</v>
      </c>
      <c r="C852" s="33" t="s">
        <v>694</v>
      </c>
      <c r="D852" s="33"/>
      <c r="E852" s="33"/>
      <c r="F852" s="33"/>
      <c r="G852" s="33"/>
      <c r="H852" s="33"/>
      <c r="I852" s="33"/>
      <c r="J852" s="33"/>
      <c r="K852" s="33"/>
    </row>
    <row r="853" spans="1:11" ht="15.75">
      <c r="A853" s="33" t="s">
        <v>2421</v>
      </c>
      <c r="B853" s="33" t="s">
        <v>2364</v>
      </c>
      <c r="C853" s="33" t="s">
        <v>47</v>
      </c>
      <c r="D853" s="33"/>
      <c r="E853" s="33"/>
      <c r="F853" s="33"/>
      <c r="G853" s="33"/>
      <c r="H853" s="33"/>
      <c r="I853" s="33"/>
      <c r="J853" s="33"/>
      <c r="K853" s="33"/>
    </row>
    <row r="854" spans="1:11" ht="15.75">
      <c r="A854" s="33" t="s">
        <v>2422</v>
      </c>
      <c r="B854" s="33" t="s">
        <v>2364</v>
      </c>
      <c r="C854" s="33" t="s">
        <v>41</v>
      </c>
      <c r="D854" s="33"/>
      <c r="E854" s="33"/>
      <c r="F854" s="33"/>
      <c r="G854" s="33"/>
      <c r="H854" s="33"/>
      <c r="I854" s="33"/>
      <c r="J854" s="33"/>
      <c r="K854" s="33"/>
    </row>
    <row r="855" spans="1:11" ht="15.75">
      <c r="A855" s="33" t="s">
        <v>2423</v>
      </c>
      <c r="B855" s="33" t="s">
        <v>2364</v>
      </c>
      <c r="C855" s="33" t="s">
        <v>2424</v>
      </c>
      <c r="D855" s="33"/>
      <c r="E855" s="33"/>
      <c r="F855" s="33"/>
      <c r="G855" s="33"/>
      <c r="H855" s="33"/>
      <c r="I855" s="33"/>
      <c r="J855" s="33"/>
      <c r="K855" s="33"/>
    </row>
    <row r="856" spans="1:11" ht="15.75">
      <c r="A856" s="33" t="s">
        <v>2425</v>
      </c>
      <c r="B856" s="33" t="s">
        <v>2364</v>
      </c>
      <c r="C856" s="33" t="s">
        <v>263</v>
      </c>
      <c r="D856" s="33"/>
      <c r="E856" s="33"/>
      <c r="F856" s="33"/>
      <c r="G856" s="33"/>
      <c r="H856" s="33"/>
      <c r="I856" s="33"/>
      <c r="J856" s="33"/>
      <c r="K856" s="33"/>
    </row>
    <row r="857" spans="1:11" ht="15.75">
      <c r="A857" s="33" t="s">
        <v>2426</v>
      </c>
      <c r="B857" s="33" t="s">
        <v>2364</v>
      </c>
      <c r="C857" s="33" t="s">
        <v>874</v>
      </c>
      <c r="D857" s="33"/>
      <c r="E857" s="33"/>
      <c r="F857" s="33"/>
      <c r="G857" s="33"/>
      <c r="H857" s="33"/>
      <c r="I857" s="33"/>
      <c r="J857" s="33"/>
      <c r="K857" s="33"/>
    </row>
    <row r="858" spans="1:11" ht="15.75">
      <c r="A858" s="33" t="s">
        <v>2427</v>
      </c>
      <c r="B858" s="33" t="s">
        <v>2364</v>
      </c>
      <c r="C858" s="33" t="s">
        <v>211</v>
      </c>
      <c r="D858" s="33"/>
      <c r="E858" s="33"/>
      <c r="F858" s="33"/>
      <c r="G858" s="33"/>
      <c r="H858" s="33"/>
      <c r="I858" s="33"/>
      <c r="J858" s="33"/>
      <c r="K858" s="33"/>
    </row>
    <row r="859" spans="1:11" ht="15.75">
      <c r="A859" s="33" t="s">
        <v>2428</v>
      </c>
      <c r="B859" s="33" t="s">
        <v>2364</v>
      </c>
      <c r="C859" s="33" t="s">
        <v>853</v>
      </c>
      <c r="D859" s="33"/>
      <c r="E859" s="33"/>
      <c r="F859" s="33"/>
      <c r="G859" s="33"/>
      <c r="H859" s="33"/>
      <c r="I859" s="33"/>
      <c r="J859" s="33"/>
      <c r="K859" s="33"/>
    </row>
    <row r="860" spans="1:11" ht="15.75">
      <c r="A860" s="33" t="s">
        <v>2429</v>
      </c>
      <c r="B860" s="33" t="s">
        <v>2364</v>
      </c>
      <c r="C860" s="33" t="s">
        <v>2430</v>
      </c>
      <c r="D860" s="33"/>
      <c r="E860" s="33"/>
      <c r="F860" s="33"/>
      <c r="G860" s="33"/>
      <c r="H860" s="33"/>
      <c r="I860" s="33"/>
      <c r="J860" s="33"/>
      <c r="K860" s="33"/>
    </row>
    <row r="861" spans="1:11" ht="15.75">
      <c r="A861" s="33" t="s">
        <v>2431</v>
      </c>
      <c r="B861" s="33" t="s">
        <v>2364</v>
      </c>
      <c r="C861" s="33" t="s">
        <v>463</v>
      </c>
      <c r="D861" s="33"/>
      <c r="E861" s="33"/>
      <c r="F861" s="33"/>
      <c r="G861" s="33"/>
      <c r="H861" s="33"/>
      <c r="I861" s="33"/>
      <c r="J861" s="33"/>
      <c r="K861" s="33"/>
    </row>
    <row r="862" spans="1:11" ht="15.75">
      <c r="A862" s="33" t="s">
        <v>2432</v>
      </c>
      <c r="B862" s="33" t="s">
        <v>2364</v>
      </c>
      <c r="C862" s="33" t="s">
        <v>577</v>
      </c>
      <c r="D862" s="33"/>
      <c r="E862" s="33"/>
      <c r="F862" s="33"/>
      <c r="G862" s="33"/>
      <c r="H862" s="33"/>
      <c r="I862" s="33"/>
      <c r="J862" s="33"/>
      <c r="K862" s="33"/>
    </row>
    <row r="863" spans="1:11" ht="15.75">
      <c r="A863" s="33" t="s">
        <v>2433</v>
      </c>
      <c r="B863" s="33" t="s">
        <v>2364</v>
      </c>
      <c r="C863" s="33" t="s">
        <v>2130</v>
      </c>
      <c r="D863" s="33"/>
      <c r="E863" s="33"/>
      <c r="F863" s="33"/>
      <c r="G863" s="33"/>
      <c r="H863" s="33"/>
      <c r="I863" s="33"/>
      <c r="J863" s="33"/>
      <c r="K863" s="33"/>
    </row>
    <row r="864" spans="1:11" ht="15.75">
      <c r="A864" s="33" t="s">
        <v>2434</v>
      </c>
      <c r="B864" s="33" t="s">
        <v>2364</v>
      </c>
      <c r="C864" s="33" t="s">
        <v>439</v>
      </c>
      <c r="D864" s="33"/>
      <c r="E864" s="33"/>
      <c r="F864" s="33"/>
      <c r="G864" s="33"/>
      <c r="H864" s="33"/>
      <c r="I864" s="33"/>
      <c r="J864" s="33"/>
      <c r="K864" s="33"/>
    </row>
    <row r="865" spans="1:11" ht="15.75">
      <c r="A865" s="33" t="s">
        <v>2435</v>
      </c>
      <c r="B865" s="33" t="s">
        <v>2364</v>
      </c>
      <c r="C865" s="33" t="s">
        <v>424</v>
      </c>
      <c r="D865" s="33"/>
      <c r="E865" s="33"/>
      <c r="F865" s="33"/>
      <c r="G865" s="33"/>
      <c r="H865" s="33"/>
      <c r="I865" s="33"/>
      <c r="J865" s="33"/>
      <c r="K865" s="33"/>
    </row>
    <row r="866" spans="1:11" ht="15.75">
      <c r="A866" s="33" t="s">
        <v>2436</v>
      </c>
      <c r="B866" s="33" t="s">
        <v>2364</v>
      </c>
      <c r="C866" s="33" t="s">
        <v>484</v>
      </c>
      <c r="D866" s="33"/>
      <c r="E866" s="33"/>
      <c r="F866" s="33"/>
      <c r="G866" s="33"/>
      <c r="H866" s="33"/>
      <c r="I866" s="33"/>
      <c r="J866" s="33"/>
      <c r="K866" s="33"/>
    </row>
    <row r="867" spans="1:11" ht="15.75">
      <c r="A867" s="33" t="s">
        <v>2437</v>
      </c>
      <c r="B867" s="33" t="s">
        <v>2364</v>
      </c>
      <c r="C867" s="33" t="s">
        <v>203</v>
      </c>
      <c r="D867" s="33"/>
      <c r="E867" s="33"/>
      <c r="F867" s="33"/>
      <c r="G867" s="33"/>
      <c r="H867" s="33"/>
      <c r="I867" s="33"/>
      <c r="J867" s="33"/>
      <c r="K867" s="33"/>
    </row>
    <row r="868" spans="1:11" ht="15.75">
      <c r="A868" s="33" t="s">
        <v>2438</v>
      </c>
      <c r="B868" s="33" t="s">
        <v>2364</v>
      </c>
      <c r="C868" s="33" t="s">
        <v>613</v>
      </c>
      <c r="D868" s="33"/>
      <c r="E868" s="33"/>
      <c r="F868" s="33"/>
      <c r="G868" s="33"/>
      <c r="H868" s="33"/>
      <c r="I868" s="33"/>
      <c r="J868" s="33"/>
      <c r="K868" s="33"/>
    </row>
    <row r="869" spans="1:11" ht="15.75">
      <c r="A869" s="33" t="s">
        <v>2439</v>
      </c>
      <c r="B869" s="33" t="s">
        <v>2364</v>
      </c>
      <c r="C869" s="33" t="s">
        <v>616</v>
      </c>
      <c r="D869" s="33"/>
      <c r="E869" s="33"/>
      <c r="F869" s="33"/>
      <c r="G869" s="33"/>
      <c r="H869" s="33"/>
      <c r="I869" s="33"/>
      <c r="J869" s="33"/>
      <c r="K869" s="33"/>
    </row>
    <row r="870" spans="1:11" ht="15.75">
      <c r="A870" s="33" t="s">
        <v>2440</v>
      </c>
      <c r="B870" s="33" t="s">
        <v>2364</v>
      </c>
      <c r="C870" s="33" t="s">
        <v>50</v>
      </c>
      <c r="D870" s="33"/>
      <c r="E870" s="33"/>
      <c r="F870" s="33"/>
      <c r="G870" s="33"/>
      <c r="H870" s="33"/>
      <c r="I870" s="33"/>
      <c r="J870" s="33"/>
      <c r="K870" s="33"/>
    </row>
    <row r="871" spans="1:11" ht="15.75">
      <c r="A871" s="33" t="s">
        <v>2441</v>
      </c>
      <c r="B871" s="33" t="s">
        <v>2364</v>
      </c>
      <c r="C871" s="33" t="s">
        <v>110</v>
      </c>
      <c r="D871" s="33"/>
      <c r="E871" s="33"/>
      <c r="F871" s="33"/>
      <c r="G871" s="33"/>
      <c r="H871" s="33"/>
      <c r="I871" s="33"/>
      <c r="J871" s="33"/>
      <c r="K871" s="33"/>
    </row>
    <row r="872" spans="1:11" ht="15.75">
      <c r="A872" s="33" t="s">
        <v>2442</v>
      </c>
      <c r="B872" s="33" t="s">
        <v>2364</v>
      </c>
      <c r="C872" s="33" t="s">
        <v>126</v>
      </c>
      <c r="D872" s="33"/>
      <c r="E872" s="33"/>
      <c r="F872" s="33"/>
      <c r="G872" s="33"/>
      <c r="H872" s="33"/>
      <c r="I872" s="33"/>
      <c r="J872" s="33"/>
      <c r="K872" s="33"/>
    </row>
    <row r="873" spans="1:11" ht="15.75">
      <c r="A873" s="33" t="s">
        <v>2443</v>
      </c>
      <c r="B873" s="33" t="s">
        <v>2364</v>
      </c>
      <c r="C873" s="33" t="s">
        <v>553</v>
      </c>
      <c r="D873" s="33"/>
      <c r="E873" s="33"/>
      <c r="F873" s="33"/>
      <c r="G873" s="33"/>
      <c r="H873" s="33"/>
      <c r="I873" s="33"/>
      <c r="J873" s="33"/>
      <c r="K873" s="33"/>
    </row>
    <row r="874" spans="1:11" ht="15.75">
      <c r="A874" s="33" t="s">
        <v>2444</v>
      </c>
      <c r="B874" s="33" t="s">
        <v>2364</v>
      </c>
      <c r="C874" s="33" t="s">
        <v>2445</v>
      </c>
      <c r="D874" s="33"/>
      <c r="E874" s="33"/>
      <c r="F874" s="33"/>
      <c r="G874" s="33"/>
      <c r="H874" s="33"/>
      <c r="I874" s="33"/>
      <c r="J874" s="33"/>
      <c r="K874" s="33"/>
    </row>
    <row r="875" spans="1:11" ht="15.75">
      <c r="A875" s="33" t="s">
        <v>2446</v>
      </c>
      <c r="B875" s="33" t="s">
        <v>2364</v>
      </c>
      <c r="C875" s="33" t="s">
        <v>535</v>
      </c>
      <c r="D875" s="33"/>
      <c r="E875" s="33"/>
      <c r="F875" s="33"/>
      <c r="G875" s="33"/>
      <c r="H875" s="33"/>
      <c r="I875" s="33"/>
      <c r="J875" s="33"/>
      <c r="K875" s="33"/>
    </row>
    <row r="876" spans="1:11" ht="15.75">
      <c r="A876" s="33" t="s">
        <v>2447</v>
      </c>
      <c r="B876" s="33" t="s">
        <v>2364</v>
      </c>
      <c r="C876" s="33" t="s">
        <v>622</v>
      </c>
      <c r="D876" s="33"/>
      <c r="E876" s="33"/>
      <c r="F876" s="33"/>
      <c r="G876" s="33"/>
      <c r="H876" s="33"/>
      <c r="I876" s="33"/>
      <c r="J876" s="33"/>
      <c r="K876" s="33"/>
    </row>
    <row r="877" spans="1:11" ht="15.75">
      <c r="A877" s="33" t="s">
        <v>2448</v>
      </c>
      <c r="B877" s="33" t="s">
        <v>2364</v>
      </c>
      <c r="C877" s="33" t="s">
        <v>697</v>
      </c>
      <c r="D877" s="33"/>
      <c r="E877" s="33"/>
      <c r="F877" s="33"/>
      <c r="G877" s="33"/>
      <c r="H877" s="33"/>
      <c r="I877" s="33"/>
      <c r="J877" s="33"/>
      <c r="K877" s="33"/>
    </row>
    <row r="878" spans="1:11" ht="15.75">
      <c r="A878" s="33" t="s">
        <v>2449</v>
      </c>
      <c r="B878" s="33" t="s">
        <v>2364</v>
      </c>
      <c r="C878" s="33" t="s">
        <v>745</v>
      </c>
      <c r="D878" s="33"/>
      <c r="E878" s="33"/>
      <c r="F878" s="33"/>
      <c r="G878" s="33"/>
      <c r="H878" s="33"/>
      <c r="I878" s="33"/>
      <c r="J878" s="33"/>
      <c r="K878" s="33"/>
    </row>
    <row r="879" spans="1:11" ht="15.75">
      <c r="A879" s="33" t="s">
        <v>2450</v>
      </c>
      <c r="B879" s="33" t="s">
        <v>2364</v>
      </c>
      <c r="C879" s="33" t="s">
        <v>523</v>
      </c>
      <c r="D879" s="33"/>
      <c r="E879" s="33"/>
      <c r="F879" s="33"/>
      <c r="G879" s="33"/>
      <c r="H879" s="33"/>
      <c r="I879" s="33"/>
      <c r="J879" s="33"/>
      <c r="K879" s="33"/>
    </row>
    <row r="880" spans="1:11" ht="15.75">
      <c r="A880" s="33" t="s">
        <v>2451</v>
      </c>
      <c r="B880" s="33" t="s">
        <v>2364</v>
      </c>
      <c r="C880" s="33" t="s">
        <v>49</v>
      </c>
      <c r="D880" s="33"/>
      <c r="E880" s="33"/>
      <c r="F880" s="33"/>
      <c r="G880" s="33"/>
      <c r="H880" s="33"/>
      <c r="I880" s="33"/>
      <c r="J880" s="33"/>
      <c r="K880" s="33"/>
    </row>
    <row r="881" spans="1:11" ht="15.75">
      <c r="A881" s="33" t="s">
        <v>2452</v>
      </c>
      <c r="B881" s="33" t="s">
        <v>2364</v>
      </c>
      <c r="C881" s="33" t="s">
        <v>811</v>
      </c>
      <c r="D881" s="33"/>
      <c r="E881" s="33"/>
      <c r="F881" s="33"/>
      <c r="G881" s="33"/>
      <c r="H881" s="33"/>
      <c r="I881" s="33"/>
      <c r="J881" s="33"/>
      <c r="K881" s="33"/>
    </row>
    <row r="882" spans="1:11" ht="15.75">
      <c r="A882" s="33" t="s">
        <v>2453</v>
      </c>
      <c r="B882" s="33" t="s">
        <v>2364</v>
      </c>
      <c r="C882" s="33" t="s">
        <v>903</v>
      </c>
      <c r="D882" s="33"/>
      <c r="E882" s="33"/>
      <c r="F882" s="33"/>
      <c r="G882" s="33"/>
      <c r="H882" s="33"/>
      <c r="I882" s="33"/>
      <c r="J882" s="33"/>
      <c r="K882" s="33"/>
    </row>
    <row r="883" spans="1:11" ht="15.75">
      <c r="A883" s="33" t="s">
        <v>2454</v>
      </c>
      <c r="B883" s="33" t="s">
        <v>2364</v>
      </c>
      <c r="C883" s="33" t="s">
        <v>2455</v>
      </c>
      <c r="D883" s="33"/>
      <c r="E883" s="33"/>
      <c r="F883" s="33"/>
      <c r="G883" s="33"/>
      <c r="H883" s="33"/>
      <c r="I883" s="33"/>
      <c r="J883" s="33"/>
      <c r="K883" s="33"/>
    </row>
    <row r="884" spans="1:11" ht="15.75">
      <c r="A884" s="33" t="s">
        <v>2456</v>
      </c>
      <c r="B884" s="33" t="s">
        <v>2364</v>
      </c>
      <c r="C884" s="33" t="s">
        <v>376</v>
      </c>
      <c r="D884" s="33"/>
      <c r="E884" s="33"/>
      <c r="F884" s="33"/>
      <c r="G884" s="33"/>
      <c r="H884" s="33"/>
      <c r="I884" s="33"/>
      <c r="J884" s="33"/>
      <c r="K884" s="33"/>
    </row>
    <row r="885" spans="1:11" ht="15.75">
      <c r="A885" s="33" t="s">
        <v>2457</v>
      </c>
      <c r="B885" s="33" t="s">
        <v>2364</v>
      </c>
      <c r="C885" s="33" t="s">
        <v>893</v>
      </c>
      <c r="D885" s="33"/>
      <c r="E885" s="33"/>
      <c r="F885" s="33"/>
      <c r="G885" s="33"/>
      <c r="H885" s="33"/>
      <c r="I885" s="33"/>
      <c r="J885" s="33"/>
      <c r="K885" s="33"/>
    </row>
    <row r="886" spans="1:11" ht="15.75">
      <c r="A886" s="33" t="s">
        <v>2458</v>
      </c>
      <c r="B886" s="33" t="s">
        <v>2364</v>
      </c>
      <c r="C886" s="33" t="s">
        <v>352</v>
      </c>
      <c r="D886" s="33"/>
      <c r="E886" s="33"/>
      <c r="F886" s="33"/>
      <c r="G886" s="33"/>
      <c r="H886" s="33"/>
      <c r="I886" s="33"/>
      <c r="J886" s="33"/>
      <c r="K886" s="33"/>
    </row>
    <row r="887" spans="1:11" ht="15.75">
      <c r="A887" s="33" t="s">
        <v>2459</v>
      </c>
      <c r="B887" s="33" t="s">
        <v>2364</v>
      </c>
      <c r="C887" s="33" t="s">
        <v>688</v>
      </c>
      <c r="D887" s="33"/>
      <c r="E887" s="33"/>
      <c r="F887" s="33"/>
      <c r="G887" s="33"/>
      <c r="H887" s="33"/>
      <c r="I887" s="33"/>
      <c r="J887" s="33"/>
      <c r="K887" s="33"/>
    </row>
    <row r="888" spans="1:11" ht="15.75">
      <c r="A888" s="33" t="s">
        <v>2460</v>
      </c>
      <c r="B888" s="33" t="s">
        <v>2364</v>
      </c>
      <c r="C888" s="33" t="s">
        <v>259</v>
      </c>
      <c r="D888" s="33"/>
      <c r="E888" s="33"/>
      <c r="F888" s="33"/>
      <c r="G888" s="33"/>
      <c r="H888" s="33"/>
      <c r="I888" s="33"/>
      <c r="J888" s="33"/>
      <c r="K888" s="33"/>
    </row>
    <row r="889" spans="1:11" ht="15.75">
      <c r="A889" s="33" t="s">
        <v>2461</v>
      </c>
      <c r="B889" s="33" t="s">
        <v>2364</v>
      </c>
      <c r="C889" s="33" t="s">
        <v>310</v>
      </c>
      <c r="D889" s="33"/>
      <c r="E889" s="33"/>
      <c r="F889" s="33"/>
      <c r="G889" s="33"/>
      <c r="H889" s="33"/>
      <c r="I889" s="33"/>
      <c r="J889" s="33"/>
      <c r="K889" s="33"/>
    </row>
    <row r="890" spans="1:11" ht="15.75">
      <c r="A890" s="33" t="s">
        <v>2462</v>
      </c>
      <c r="B890" s="33" t="s">
        <v>2364</v>
      </c>
      <c r="C890" s="33" t="s">
        <v>430</v>
      </c>
      <c r="D890" s="33"/>
      <c r="E890" s="33"/>
      <c r="F890" s="33"/>
      <c r="G890" s="33"/>
      <c r="H890" s="33"/>
      <c r="I890" s="33"/>
      <c r="J890" s="33"/>
      <c r="K890" s="33"/>
    </row>
    <row r="891" spans="1:11" ht="15.75">
      <c r="A891" s="33" t="s">
        <v>2463</v>
      </c>
      <c r="B891" s="33" t="s">
        <v>2364</v>
      </c>
      <c r="C891" s="33" t="s">
        <v>313</v>
      </c>
      <c r="D891" s="33"/>
      <c r="E891" s="33"/>
      <c r="F891" s="33"/>
      <c r="G891" s="33"/>
      <c r="H891" s="33"/>
      <c r="I891" s="33"/>
      <c r="J891" s="33"/>
      <c r="K891" s="33"/>
    </row>
    <row r="892" spans="1:11" ht="15.75">
      <c r="A892" s="33" t="s">
        <v>2464</v>
      </c>
      <c r="B892" s="33" t="s">
        <v>2364</v>
      </c>
      <c r="C892" s="33" t="s">
        <v>562</v>
      </c>
      <c r="D892" s="33"/>
      <c r="E892" s="33"/>
      <c r="F892" s="33"/>
      <c r="G892" s="33"/>
      <c r="H892" s="33"/>
      <c r="I892" s="33"/>
      <c r="J892" s="33"/>
      <c r="K892" s="33"/>
    </row>
    <row r="893" spans="1:11" ht="15.75">
      <c r="A893" s="33" t="s">
        <v>2465</v>
      </c>
      <c r="B893" s="33" t="s">
        <v>2364</v>
      </c>
      <c r="C893" s="33" t="s">
        <v>38</v>
      </c>
      <c r="D893" s="33"/>
      <c r="E893" s="33"/>
      <c r="F893" s="33"/>
      <c r="G893" s="33"/>
      <c r="H893" s="33"/>
      <c r="I893" s="33"/>
      <c r="J893" s="33"/>
      <c r="K893" s="33"/>
    </row>
    <row r="894" spans="1:11" ht="15.75">
      <c r="A894" s="33" t="s">
        <v>2466</v>
      </c>
      <c r="B894" s="33" t="s">
        <v>2364</v>
      </c>
      <c r="C894" s="33" t="s">
        <v>331</v>
      </c>
      <c r="D894" s="33"/>
      <c r="E894" s="33"/>
      <c r="F894" s="33"/>
      <c r="G894" s="33"/>
      <c r="H894" s="33"/>
      <c r="I894" s="33"/>
      <c r="J894" s="33"/>
      <c r="K894" s="33"/>
    </row>
    <row r="895" spans="1:11" ht="15.75">
      <c r="A895" s="33" t="s">
        <v>2467</v>
      </c>
      <c r="B895" s="33" t="s">
        <v>2364</v>
      </c>
      <c r="C895" s="33" t="s">
        <v>391</v>
      </c>
      <c r="D895" s="33"/>
      <c r="E895" s="33"/>
      <c r="F895" s="33"/>
      <c r="G895" s="33"/>
      <c r="H895" s="33"/>
      <c r="I895" s="33"/>
      <c r="J895" s="33"/>
      <c r="K895" s="33"/>
    </row>
    <row r="896" spans="1:11" ht="15.75">
      <c r="A896" s="33" t="s">
        <v>2468</v>
      </c>
      <c r="B896" s="33" t="s">
        <v>2364</v>
      </c>
      <c r="C896" s="33" t="s">
        <v>763</v>
      </c>
      <c r="D896" s="33"/>
      <c r="E896" s="33"/>
      <c r="F896" s="33"/>
      <c r="G896" s="33"/>
      <c r="H896" s="33"/>
      <c r="I896" s="33"/>
      <c r="J896" s="33"/>
      <c r="K896" s="33"/>
    </row>
    <row r="897" spans="1:11" ht="15.75">
      <c r="A897" s="33" t="s">
        <v>2469</v>
      </c>
      <c r="B897" s="33" t="s">
        <v>2364</v>
      </c>
      <c r="C897" s="33" t="s">
        <v>478</v>
      </c>
      <c r="D897" s="33"/>
      <c r="E897" s="33"/>
      <c r="F897" s="33"/>
      <c r="G897" s="33"/>
      <c r="H897" s="33"/>
      <c r="I897" s="33"/>
      <c r="J897" s="33"/>
      <c r="K897" s="33"/>
    </row>
    <row r="898" spans="1:11" ht="15.75">
      <c r="A898" s="33" t="s">
        <v>2470</v>
      </c>
      <c r="B898" s="33" t="s">
        <v>2364</v>
      </c>
      <c r="C898" s="33" t="s">
        <v>415</v>
      </c>
      <c r="D898" s="33"/>
      <c r="E898" s="33"/>
      <c r="F898" s="33"/>
      <c r="G898" s="33"/>
      <c r="H898" s="33"/>
      <c r="I898" s="33"/>
      <c r="J898" s="33"/>
      <c r="K898" s="33"/>
    </row>
    <row r="899" spans="1:11" ht="15.75">
      <c r="A899" s="33" t="s">
        <v>2471</v>
      </c>
      <c r="B899" s="33" t="s">
        <v>2364</v>
      </c>
      <c r="C899" s="33" t="s">
        <v>2472</v>
      </c>
      <c r="D899" s="33"/>
      <c r="E899" s="33"/>
      <c r="F899" s="33"/>
      <c r="G899" s="33"/>
      <c r="H899" s="33"/>
      <c r="I899" s="33"/>
      <c r="J899" s="33"/>
      <c r="K899" s="33"/>
    </row>
    <row r="900" spans="1:11" ht="15.75">
      <c r="A900" s="33" t="s">
        <v>2473</v>
      </c>
      <c r="B900" s="33" t="s">
        <v>2364</v>
      </c>
      <c r="C900" s="33" t="s">
        <v>769</v>
      </c>
      <c r="D900" s="33"/>
      <c r="E900" s="33"/>
      <c r="F900" s="33"/>
      <c r="G900" s="33"/>
      <c r="H900" s="33"/>
      <c r="I900" s="33"/>
      <c r="J900" s="33"/>
      <c r="K900" s="33"/>
    </row>
    <row r="901" spans="1:11" ht="15.75">
      <c r="A901" s="33" t="s">
        <v>2474</v>
      </c>
      <c r="B901" s="33" t="s">
        <v>2364</v>
      </c>
      <c r="C901" s="33" t="s">
        <v>247</v>
      </c>
      <c r="D901" s="33"/>
      <c r="E901" s="33"/>
      <c r="F901" s="33"/>
      <c r="G901" s="33"/>
      <c r="H901" s="33"/>
      <c r="I901" s="33"/>
      <c r="J901" s="33"/>
      <c r="K901" s="33"/>
    </row>
    <row r="902" spans="1:11" ht="15.75">
      <c r="A902" s="33" t="s">
        <v>2475</v>
      </c>
      <c r="B902" s="33" t="s">
        <v>2364</v>
      </c>
      <c r="C902" s="33" t="s">
        <v>346</v>
      </c>
      <c r="D902" s="33"/>
      <c r="E902" s="33"/>
      <c r="F902" s="33"/>
      <c r="G902" s="33"/>
      <c r="H902" s="33"/>
      <c r="I902" s="33"/>
      <c r="J902" s="33"/>
      <c r="K902" s="33"/>
    </row>
    <row r="903" spans="1:11" ht="15.75">
      <c r="A903" s="33" t="s">
        <v>2476</v>
      </c>
      <c r="B903" s="33" t="s">
        <v>2364</v>
      </c>
      <c r="C903" s="33" t="s">
        <v>53</v>
      </c>
      <c r="D903" s="33"/>
      <c r="E903" s="33"/>
      <c r="F903" s="33"/>
      <c r="G903" s="33"/>
      <c r="H903" s="33"/>
      <c r="I903" s="33"/>
      <c r="J903" s="33"/>
      <c r="K903" s="33"/>
    </row>
    <row r="904" spans="1:11" ht="15.75">
      <c r="A904" s="33" t="s">
        <v>2477</v>
      </c>
      <c r="B904" s="33" t="s">
        <v>2364</v>
      </c>
      <c r="C904" s="33" t="s">
        <v>87</v>
      </c>
      <c r="D904" s="33"/>
      <c r="E904" s="33"/>
      <c r="F904" s="33"/>
      <c r="G904" s="33"/>
      <c r="H904" s="33"/>
      <c r="I904" s="33"/>
      <c r="J904" s="33"/>
      <c r="K904" s="33"/>
    </row>
    <row r="905" spans="1:11" ht="15.75">
      <c r="A905" s="33" t="s">
        <v>2478</v>
      </c>
      <c r="B905" s="33" t="s">
        <v>2364</v>
      </c>
      <c r="C905" s="33" t="s">
        <v>895</v>
      </c>
      <c r="D905" s="33"/>
      <c r="E905" s="33"/>
      <c r="F905" s="33"/>
      <c r="G905" s="33"/>
      <c r="H905" s="33"/>
      <c r="I905" s="33"/>
      <c r="J905" s="33"/>
      <c r="K905" s="33"/>
    </row>
    <row r="906" spans="1:11" ht="15.75">
      <c r="A906" s="33" t="s">
        <v>2479</v>
      </c>
      <c r="B906" s="33" t="s">
        <v>2364</v>
      </c>
      <c r="C906" s="33" t="s">
        <v>427</v>
      </c>
      <c r="D906" s="33"/>
      <c r="E906" s="33"/>
      <c r="F906" s="33"/>
      <c r="G906" s="33"/>
      <c r="H906" s="33"/>
      <c r="I906" s="33"/>
      <c r="J906" s="33"/>
      <c r="K906" s="33"/>
    </row>
    <row r="907" spans="1:11" ht="15.75">
      <c r="A907" s="33" t="s">
        <v>2480</v>
      </c>
      <c r="B907" s="33" t="s">
        <v>2364</v>
      </c>
      <c r="C907" s="33" t="s">
        <v>490</v>
      </c>
      <c r="D907" s="33"/>
      <c r="E907" s="33"/>
      <c r="F907" s="33"/>
      <c r="G907" s="33"/>
      <c r="H907" s="33"/>
      <c r="I907" s="33"/>
      <c r="J907" s="33"/>
      <c r="K907" s="33"/>
    </row>
    <row r="908" spans="1:11" ht="15.75">
      <c r="A908" s="33" t="s">
        <v>2481</v>
      </c>
      <c r="B908" s="33" t="s">
        <v>2364</v>
      </c>
      <c r="C908" s="33" t="s">
        <v>469</v>
      </c>
      <c r="D908" s="33"/>
      <c r="E908" s="33"/>
      <c r="F908" s="33"/>
      <c r="G908" s="33"/>
      <c r="H908" s="33"/>
      <c r="I908" s="33"/>
      <c r="J908" s="33"/>
      <c r="K908" s="33"/>
    </row>
    <row r="909" spans="1:11" ht="15.75">
      <c r="A909" s="33" t="s">
        <v>2482</v>
      </c>
      <c r="B909" s="33" t="s">
        <v>2364</v>
      </c>
      <c r="C909" s="33" t="s">
        <v>493</v>
      </c>
      <c r="D909" s="33"/>
      <c r="E909" s="33"/>
      <c r="F909" s="33"/>
      <c r="G909" s="33"/>
      <c r="H909" s="33"/>
      <c r="I909" s="33"/>
      <c r="J909" s="33"/>
      <c r="K909" s="33"/>
    </row>
    <row r="910" spans="1:11" ht="15.75">
      <c r="A910" s="33" t="s">
        <v>2483</v>
      </c>
      <c r="B910" s="33" t="s">
        <v>2364</v>
      </c>
      <c r="C910" s="33" t="s">
        <v>649</v>
      </c>
      <c r="D910" s="33"/>
      <c r="E910" s="33"/>
      <c r="F910" s="33"/>
      <c r="G910" s="33"/>
      <c r="H910" s="33"/>
      <c r="I910" s="33"/>
      <c r="J910" s="33"/>
      <c r="K910" s="33"/>
    </row>
    <row r="911" spans="1:11" ht="15.75">
      <c r="A911" s="33" t="s">
        <v>2484</v>
      </c>
      <c r="B911" s="33" t="s">
        <v>2364</v>
      </c>
      <c r="C911" s="33" t="s">
        <v>721</v>
      </c>
      <c r="D911" s="33"/>
      <c r="E911" s="33"/>
      <c r="F911" s="33"/>
      <c r="G911" s="33"/>
      <c r="H911" s="33"/>
      <c r="I911" s="33"/>
      <c r="J911" s="33"/>
      <c r="K911" s="33"/>
    </row>
    <row r="912" spans="1:11" ht="15.75">
      <c r="A912" s="33" t="s">
        <v>2485</v>
      </c>
      <c r="B912" s="33" t="s">
        <v>2364</v>
      </c>
      <c r="C912" s="33" t="s">
        <v>400</v>
      </c>
      <c r="D912" s="33"/>
      <c r="E912" s="33"/>
      <c r="F912" s="33"/>
      <c r="G912" s="33"/>
      <c r="H912" s="33"/>
      <c r="I912" s="33"/>
      <c r="J912" s="33"/>
      <c r="K912" s="33"/>
    </row>
    <row r="913" spans="1:11" ht="15.75">
      <c r="A913" s="33" t="s">
        <v>2486</v>
      </c>
      <c r="B913" s="33" t="s">
        <v>2364</v>
      </c>
      <c r="C913" s="33" t="s">
        <v>778</v>
      </c>
      <c r="D913" s="33"/>
      <c r="E913" s="33"/>
      <c r="F913" s="33"/>
      <c r="G913" s="33"/>
      <c r="H913" s="33"/>
      <c r="I913" s="33"/>
      <c r="J913" s="33"/>
      <c r="K913" s="33"/>
    </row>
    <row r="914" spans="1:11" ht="15.75">
      <c r="A914" s="33" t="s">
        <v>2487</v>
      </c>
      <c r="B914" s="33" t="s">
        <v>2364</v>
      </c>
      <c r="C914" s="33" t="s">
        <v>2488</v>
      </c>
      <c r="D914" s="33"/>
      <c r="E914" s="33"/>
      <c r="F914" s="33"/>
      <c r="G914" s="33"/>
      <c r="H914" s="33"/>
      <c r="I914" s="33"/>
      <c r="J914" s="33"/>
      <c r="K914" s="33"/>
    </row>
    <row r="915" spans="1:11" ht="15.75">
      <c r="A915" s="33" t="s">
        <v>2489</v>
      </c>
      <c r="B915" s="33" t="s">
        <v>2364</v>
      </c>
      <c r="C915" s="33" t="s">
        <v>889</v>
      </c>
      <c r="D915" s="33"/>
      <c r="E915" s="33"/>
      <c r="F915" s="33"/>
      <c r="G915" s="33"/>
      <c r="H915" s="33"/>
      <c r="I915" s="33"/>
      <c r="J915" s="33"/>
      <c r="K915" s="33"/>
    </row>
    <row r="916" spans="1:11" ht="15.75">
      <c r="A916" s="33" t="s">
        <v>2490</v>
      </c>
      <c r="B916" s="33" t="s">
        <v>2364</v>
      </c>
      <c r="C916" s="33" t="s">
        <v>138</v>
      </c>
      <c r="D916" s="33"/>
      <c r="E916" s="33"/>
      <c r="F916" s="33"/>
      <c r="G916" s="33"/>
      <c r="H916" s="33"/>
      <c r="I916" s="33"/>
      <c r="J916" s="33"/>
      <c r="K916" s="33"/>
    </row>
    <row r="917" spans="1:11" ht="15.75">
      <c r="A917" s="33" t="s">
        <v>2491</v>
      </c>
      <c r="B917" s="33" t="s">
        <v>2364</v>
      </c>
      <c r="C917" s="33" t="s">
        <v>502</v>
      </c>
      <c r="D917" s="33"/>
      <c r="E917" s="33"/>
      <c r="F917" s="33"/>
      <c r="G917" s="33"/>
      <c r="H917" s="33"/>
      <c r="I917" s="33"/>
      <c r="J917" s="33"/>
      <c r="K917" s="33"/>
    </row>
    <row r="918" spans="1:11" ht="15.75">
      <c r="A918" s="33" t="s">
        <v>2492</v>
      </c>
      <c r="B918" s="33" t="s">
        <v>2364</v>
      </c>
      <c r="C918" s="33" t="s">
        <v>766</v>
      </c>
      <c r="D918" s="33"/>
      <c r="E918" s="33"/>
      <c r="F918" s="33"/>
      <c r="G918" s="33"/>
      <c r="H918" s="33"/>
      <c r="I918" s="33"/>
      <c r="J918" s="33"/>
      <c r="K918" s="33"/>
    </row>
    <row r="919" spans="1:11" ht="15.75">
      <c r="A919" s="33" t="s">
        <v>2493</v>
      </c>
      <c r="B919" s="33" t="s">
        <v>2364</v>
      </c>
      <c r="C919" s="33" t="s">
        <v>890</v>
      </c>
      <c r="D919" s="33"/>
      <c r="E919" s="33"/>
      <c r="F919" s="33"/>
      <c r="G919" s="33"/>
      <c r="H919" s="33"/>
      <c r="I919" s="33"/>
      <c r="J919" s="33"/>
      <c r="K919" s="33"/>
    </row>
    <row r="920" spans="1:11" ht="15.75">
      <c r="A920" s="33" t="s">
        <v>2494</v>
      </c>
      <c r="B920" s="33" t="s">
        <v>2364</v>
      </c>
      <c r="C920" s="33" t="s">
        <v>817</v>
      </c>
      <c r="D920" s="33"/>
      <c r="E920" s="33"/>
      <c r="F920" s="33"/>
      <c r="G920" s="33"/>
      <c r="H920" s="33"/>
      <c r="I920" s="33"/>
      <c r="J920" s="33"/>
      <c r="K920" s="33"/>
    </row>
    <row r="921" spans="1:11" ht="15.75">
      <c r="A921" s="33" t="s">
        <v>2495</v>
      </c>
      <c r="B921" s="33" t="s">
        <v>2364</v>
      </c>
      <c r="C921" s="33" t="s">
        <v>101</v>
      </c>
      <c r="D921" s="33"/>
      <c r="E921" s="33"/>
      <c r="F921" s="33"/>
      <c r="G921" s="33"/>
      <c r="H921" s="33"/>
      <c r="I921" s="33"/>
      <c r="J921" s="33"/>
      <c r="K921" s="33"/>
    </row>
    <row r="922" spans="1:11" ht="15.75">
      <c r="A922" s="33" t="s">
        <v>2496</v>
      </c>
      <c r="B922" s="33" t="s">
        <v>2364</v>
      </c>
      <c r="C922" s="33" t="s">
        <v>151</v>
      </c>
      <c r="D922" s="33"/>
      <c r="E922" s="33"/>
      <c r="F922" s="33"/>
      <c r="G922" s="33"/>
      <c r="H922" s="33"/>
      <c r="I922" s="33"/>
      <c r="J922" s="33"/>
      <c r="K922" s="33"/>
    </row>
    <row r="923" spans="1:11" ht="15.75">
      <c r="A923" s="33" t="s">
        <v>2497</v>
      </c>
      <c r="B923" s="33" t="s">
        <v>2364</v>
      </c>
      <c r="C923" s="33" t="s">
        <v>207</v>
      </c>
      <c r="D923" s="33"/>
      <c r="E923" s="33"/>
      <c r="F923" s="33"/>
      <c r="G923" s="33"/>
      <c r="H923" s="33"/>
      <c r="I923" s="33"/>
      <c r="J923" s="33"/>
      <c r="K923" s="33"/>
    </row>
    <row r="924" spans="1:11" ht="15.75">
      <c r="A924" s="33" t="s">
        <v>2498</v>
      </c>
      <c r="B924" s="33" t="s">
        <v>2364</v>
      </c>
      <c r="C924" s="33" t="s">
        <v>243</v>
      </c>
      <c r="D924" s="33"/>
      <c r="E924" s="33"/>
      <c r="F924" s="33"/>
      <c r="G924" s="33"/>
      <c r="H924" s="33"/>
      <c r="I924" s="33"/>
      <c r="J924" s="33"/>
      <c r="K924" s="33"/>
    </row>
    <row r="925" spans="1:11" ht="15.75">
      <c r="A925" s="33" t="s">
        <v>2499</v>
      </c>
      <c r="B925" s="33" t="s">
        <v>2364</v>
      </c>
      <c r="C925" s="33" t="s">
        <v>496</v>
      </c>
      <c r="D925" s="33"/>
      <c r="E925" s="33"/>
      <c r="F925" s="33"/>
      <c r="G925" s="33"/>
      <c r="H925" s="33"/>
      <c r="I925" s="33"/>
      <c r="J925" s="33"/>
      <c r="K925" s="33"/>
    </row>
    <row r="926" spans="1:11" ht="15.75">
      <c r="A926" s="33" t="s">
        <v>2500</v>
      </c>
      <c r="B926" s="33" t="s">
        <v>2364</v>
      </c>
      <c r="C926" s="33" t="s">
        <v>114</v>
      </c>
      <c r="D926" s="33"/>
      <c r="E926" s="33"/>
      <c r="F926" s="33"/>
      <c r="G926" s="33"/>
      <c r="H926" s="33"/>
      <c r="I926" s="33"/>
      <c r="J926" s="33"/>
      <c r="K926" s="33"/>
    </row>
    <row r="927" spans="1:11" ht="15.75">
      <c r="A927" s="33" t="s">
        <v>2501</v>
      </c>
      <c r="B927" s="33" t="s">
        <v>2364</v>
      </c>
      <c r="C927" s="33" t="s">
        <v>11</v>
      </c>
      <c r="D927" s="33"/>
      <c r="E927" s="33"/>
      <c r="F927" s="33"/>
      <c r="G927" s="33"/>
      <c r="H927" s="33"/>
      <c r="I927" s="33"/>
      <c r="J927" s="33"/>
      <c r="K927" s="33"/>
    </row>
    <row r="928" spans="1:11" ht="15.75">
      <c r="A928" s="33" t="s">
        <v>2502</v>
      </c>
      <c r="B928" s="33" t="s">
        <v>2364</v>
      </c>
      <c r="C928" s="33" t="s">
        <v>736</v>
      </c>
      <c r="D928" s="33"/>
      <c r="E928" s="33"/>
      <c r="F928" s="33"/>
      <c r="G928" s="33"/>
      <c r="H928" s="33"/>
      <c r="I928" s="33"/>
      <c r="J928" s="33"/>
      <c r="K928" s="33"/>
    </row>
    <row r="929" spans="1:11" ht="15.75">
      <c r="A929" s="33" t="s">
        <v>2503</v>
      </c>
      <c r="B929" s="33" t="s">
        <v>2364</v>
      </c>
      <c r="C929" s="33" t="s">
        <v>508</v>
      </c>
      <c r="D929" s="33"/>
      <c r="E929" s="33"/>
      <c r="F929" s="33"/>
      <c r="G929" s="33"/>
      <c r="H929" s="33"/>
      <c r="I929" s="33"/>
      <c r="J929" s="33"/>
      <c r="K929" s="33"/>
    </row>
    <row r="930" spans="1:11" ht="15.75">
      <c r="A930" s="33" t="s">
        <v>2504</v>
      </c>
      <c r="B930" s="33" t="s">
        <v>2364</v>
      </c>
      <c r="C930" s="33" t="s">
        <v>730</v>
      </c>
      <c r="D930" s="33"/>
      <c r="E930" s="33"/>
      <c r="F930" s="33"/>
      <c r="G930" s="33"/>
      <c r="H930" s="33"/>
      <c r="I930" s="33"/>
      <c r="J930" s="33"/>
      <c r="K930" s="33"/>
    </row>
    <row r="931" spans="1:11" ht="15.75">
      <c r="A931" s="33" t="s">
        <v>2505</v>
      </c>
      <c r="B931" s="33" t="s">
        <v>2364</v>
      </c>
      <c r="C931" s="33" t="s">
        <v>67</v>
      </c>
      <c r="D931" s="33"/>
      <c r="E931" s="33"/>
      <c r="F931" s="33"/>
      <c r="G931" s="33"/>
      <c r="H931" s="33"/>
      <c r="I931" s="33"/>
      <c r="J931" s="33"/>
      <c r="K931" s="33"/>
    </row>
    <row r="932" spans="1:11" ht="15.75">
      <c r="A932" s="33" t="s">
        <v>2506</v>
      </c>
      <c r="B932" s="33" t="s">
        <v>2364</v>
      </c>
      <c r="C932" s="33" t="s">
        <v>394</v>
      </c>
      <c r="D932" s="33"/>
      <c r="E932" s="33"/>
      <c r="F932" s="33"/>
      <c r="G932" s="33"/>
      <c r="H932" s="33"/>
      <c r="I932" s="33"/>
      <c r="J932" s="33"/>
      <c r="K932" s="33"/>
    </row>
    <row r="933" spans="1:11" ht="15.75">
      <c r="A933" s="33" t="s">
        <v>2507</v>
      </c>
      <c r="B933" s="33" t="s">
        <v>2364</v>
      </c>
      <c r="C933" s="33" t="s">
        <v>105</v>
      </c>
      <c r="D933" s="33"/>
      <c r="E933" s="33"/>
      <c r="F933" s="33"/>
      <c r="G933" s="33"/>
      <c r="H933" s="33"/>
      <c r="I933" s="33"/>
      <c r="J933" s="33"/>
      <c r="K933" s="33"/>
    </row>
    <row r="934" spans="1:11" ht="15.75">
      <c r="A934" s="33" t="s">
        <v>2508</v>
      </c>
      <c r="B934" s="33" t="s">
        <v>2364</v>
      </c>
      <c r="C934" s="33" t="s">
        <v>751</v>
      </c>
      <c r="D934" s="33"/>
      <c r="E934" s="33"/>
      <c r="F934" s="33"/>
      <c r="G934" s="33"/>
      <c r="H934" s="33"/>
      <c r="I934" s="33"/>
      <c r="J934" s="33"/>
      <c r="K934" s="33"/>
    </row>
    <row r="935" spans="1:11" ht="15.75">
      <c r="A935" s="33" t="s">
        <v>2509</v>
      </c>
      <c r="B935" s="33" t="s">
        <v>2364</v>
      </c>
      <c r="C935" s="33" t="s">
        <v>291</v>
      </c>
      <c r="D935" s="33"/>
      <c r="E935" s="33"/>
      <c r="F935" s="33"/>
      <c r="G935" s="33"/>
      <c r="H935" s="33"/>
      <c r="I935" s="33"/>
      <c r="J935" s="33"/>
      <c r="K935" s="33"/>
    </row>
    <row r="936" spans="1:11" ht="15.75">
      <c r="A936" s="33" t="s">
        <v>2510</v>
      </c>
      <c r="B936" s="33" t="s">
        <v>2364</v>
      </c>
      <c r="C936" s="33" t="s">
        <v>466</v>
      </c>
      <c r="D936" s="33"/>
      <c r="E936" s="33"/>
      <c r="F936" s="33"/>
      <c r="G936" s="33"/>
      <c r="H936" s="33"/>
      <c r="I936" s="33"/>
      <c r="J936" s="33"/>
      <c r="K936" s="33"/>
    </row>
    <row r="937" spans="1:11" ht="15.75">
      <c r="A937" s="33" t="s">
        <v>2511</v>
      </c>
      <c r="B937" s="33" t="s">
        <v>2364</v>
      </c>
      <c r="C937" s="33" t="s">
        <v>97</v>
      </c>
      <c r="D937" s="33"/>
      <c r="E937" s="33"/>
      <c r="F937" s="33"/>
      <c r="G937" s="33"/>
      <c r="H937" s="33"/>
      <c r="I937" s="33"/>
      <c r="J937" s="33"/>
      <c r="K937" s="33"/>
    </row>
    <row r="938" spans="1:11" ht="15.75">
      <c r="A938" s="33" t="s">
        <v>2512</v>
      </c>
      <c r="B938" s="33" t="s">
        <v>2364</v>
      </c>
      <c r="C938" s="33" t="s">
        <v>130</v>
      </c>
      <c r="D938" s="33"/>
      <c r="E938" s="33"/>
      <c r="F938" s="33"/>
      <c r="G938" s="33"/>
      <c r="H938" s="33"/>
      <c r="I938" s="33"/>
      <c r="J938" s="33"/>
      <c r="K938" s="33"/>
    </row>
    <row r="939" spans="1:11" ht="15.75">
      <c r="A939" s="33" t="s">
        <v>2513</v>
      </c>
      <c r="B939" s="33" t="s">
        <v>2364</v>
      </c>
      <c r="C939" s="33" t="s">
        <v>472</v>
      </c>
      <c r="D939" s="33"/>
      <c r="E939" s="33"/>
      <c r="F939" s="33"/>
      <c r="G939" s="33"/>
      <c r="H939" s="33"/>
      <c r="I939" s="33"/>
      <c r="J939" s="33"/>
      <c r="K939" s="33"/>
    </row>
    <row r="940" spans="1:11" ht="15.75">
      <c r="A940" s="33" t="s">
        <v>2514</v>
      </c>
      <c r="B940" s="33" t="s">
        <v>2364</v>
      </c>
      <c r="C940" s="33" t="s">
        <v>559</v>
      </c>
      <c r="D940" s="33"/>
      <c r="E940" s="33"/>
      <c r="F940" s="33"/>
      <c r="G940" s="33"/>
      <c r="H940" s="33"/>
      <c r="I940" s="33"/>
      <c r="J940" s="33"/>
      <c r="K940" s="33"/>
    </row>
    <row r="941" spans="1:11" ht="15.75">
      <c r="A941" s="33" t="s">
        <v>2515</v>
      </c>
      <c r="B941" s="33" t="s">
        <v>2364</v>
      </c>
      <c r="C941" s="33" t="s">
        <v>54</v>
      </c>
      <c r="D941" s="33"/>
      <c r="E941" s="33"/>
      <c r="F941" s="33"/>
      <c r="G941" s="33"/>
      <c r="H941" s="33"/>
      <c r="I941" s="33"/>
      <c r="J941" s="33"/>
      <c r="K941" s="33"/>
    </row>
    <row r="942" spans="1:11" ht="15.75">
      <c r="A942" s="33" t="s">
        <v>2516</v>
      </c>
      <c r="B942" s="33" t="s">
        <v>2364</v>
      </c>
      <c r="C942" s="33" t="s">
        <v>511</v>
      </c>
      <c r="D942" s="33"/>
      <c r="E942" s="33"/>
      <c r="F942" s="33"/>
      <c r="G942" s="33"/>
      <c r="H942" s="33"/>
      <c r="I942" s="33"/>
      <c r="J942" s="33"/>
      <c r="K942" s="33"/>
    </row>
    <row r="943" spans="1:11" ht="15.75">
      <c r="A943" s="33" t="s">
        <v>2517</v>
      </c>
      <c r="B943" s="33" t="s">
        <v>2364</v>
      </c>
      <c r="C943" s="33" t="s">
        <v>868</v>
      </c>
      <c r="D943" s="33"/>
      <c r="E943" s="33"/>
      <c r="F943" s="33"/>
      <c r="G943" s="33"/>
      <c r="H943" s="33"/>
      <c r="I943" s="33"/>
      <c r="J943" s="33"/>
      <c r="K943" s="33"/>
    </row>
    <row r="944" spans="1:11" ht="15.75">
      <c r="A944" s="33" t="s">
        <v>2518</v>
      </c>
      <c r="B944" s="33" t="s">
        <v>2364</v>
      </c>
      <c r="C944" s="33" t="s">
        <v>183</v>
      </c>
      <c r="D944" s="33"/>
      <c r="E944" s="33"/>
      <c r="F944" s="33"/>
      <c r="G944" s="33"/>
      <c r="H944" s="33"/>
      <c r="I944" s="33"/>
      <c r="J944" s="33"/>
      <c r="K944" s="33"/>
    </row>
    <row r="945" spans="1:11" ht="15.75">
      <c r="A945" s="33" t="s">
        <v>2519</v>
      </c>
      <c r="B945" s="33" t="s">
        <v>2364</v>
      </c>
      <c r="C945" s="33" t="s">
        <v>275</v>
      </c>
      <c r="D945" s="33"/>
      <c r="E945" s="33"/>
      <c r="F945" s="33"/>
      <c r="G945" s="33"/>
      <c r="H945" s="33"/>
      <c r="I945" s="33"/>
      <c r="J945" s="33"/>
      <c r="K945" s="33"/>
    </row>
    <row r="946" spans="1:11" ht="15.75">
      <c r="A946" s="33" t="s">
        <v>2520</v>
      </c>
      <c r="B946" s="33" t="s">
        <v>2364</v>
      </c>
      <c r="C946" s="33" t="s">
        <v>142</v>
      </c>
      <c r="D946" s="33"/>
      <c r="E946" s="33"/>
      <c r="F946" s="33"/>
      <c r="G946" s="33"/>
      <c r="H946" s="33"/>
      <c r="I946" s="33"/>
      <c r="J946" s="33"/>
      <c r="K946" s="33"/>
    </row>
    <row r="947" spans="1:11" ht="15.75">
      <c r="A947" s="33" t="s">
        <v>2521</v>
      </c>
      <c r="B947" s="33" t="s">
        <v>2364</v>
      </c>
      <c r="C947" s="33" t="s">
        <v>760</v>
      </c>
      <c r="D947" s="33"/>
      <c r="E947" s="33"/>
      <c r="F947" s="33"/>
      <c r="G947" s="33"/>
      <c r="H947" s="33"/>
      <c r="I947" s="33"/>
      <c r="J947" s="33"/>
      <c r="K947" s="33"/>
    </row>
    <row r="948" spans="1:11" ht="15.75">
      <c r="A948" s="33" t="s">
        <v>2522</v>
      </c>
      <c r="B948" s="33" t="s">
        <v>2364</v>
      </c>
      <c r="C948" s="33" t="s">
        <v>187</v>
      </c>
      <c r="D948" s="33"/>
      <c r="E948" s="33"/>
      <c r="F948" s="33"/>
      <c r="G948" s="33"/>
      <c r="H948" s="33"/>
      <c r="I948" s="33"/>
      <c r="J948" s="33"/>
      <c r="K948" s="33"/>
    </row>
    <row r="949" spans="1:11" ht="15.75">
      <c r="A949" s="33" t="s">
        <v>2523</v>
      </c>
      <c r="B949" s="33" t="s">
        <v>2364</v>
      </c>
      <c r="C949" s="33" t="s">
        <v>532</v>
      </c>
      <c r="D949" s="33"/>
      <c r="E949" s="33"/>
      <c r="F949" s="33"/>
      <c r="G949" s="33"/>
      <c r="H949" s="33"/>
      <c r="I949" s="33"/>
      <c r="J949" s="33"/>
      <c r="K949" s="33"/>
    </row>
    <row r="950" spans="1:11" ht="15.75">
      <c r="A950" s="33" t="s">
        <v>2524</v>
      </c>
      <c r="B950" s="33" t="s">
        <v>2364</v>
      </c>
      <c r="C950" s="33" t="s">
        <v>35</v>
      </c>
      <c r="D950" s="33"/>
      <c r="E950" s="33"/>
      <c r="F950" s="33"/>
      <c r="G950" s="33"/>
      <c r="H950" s="33"/>
      <c r="I950" s="33"/>
      <c r="J950" s="33"/>
      <c r="K950" s="33"/>
    </row>
    <row r="951" spans="1:11" ht="15.75">
      <c r="A951" s="33" t="s">
        <v>2525</v>
      </c>
      <c r="B951" s="33" t="s">
        <v>2364</v>
      </c>
      <c r="C951" s="33" t="s">
        <v>442</v>
      </c>
      <c r="D951" s="33"/>
      <c r="E951" s="33"/>
      <c r="F951" s="33"/>
      <c r="G951" s="33"/>
      <c r="H951" s="33"/>
      <c r="I951" s="33"/>
      <c r="J951" s="33"/>
      <c r="K951" s="33"/>
    </row>
    <row r="952" spans="1:11" ht="15.75">
      <c r="A952" s="33" t="s">
        <v>2526</v>
      </c>
      <c r="B952" s="33" t="s">
        <v>2364</v>
      </c>
      <c r="C952" s="33" t="s">
        <v>538</v>
      </c>
      <c r="D952" s="33"/>
      <c r="E952" s="33"/>
      <c r="F952" s="33"/>
      <c r="G952" s="33"/>
      <c r="H952" s="33"/>
      <c r="I952" s="33"/>
      <c r="J952" s="33"/>
      <c r="K952" s="33"/>
    </row>
    <row r="953" spans="1:11" ht="15.75">
      <c r="A953" s="33" t="s">
        <v>2527</v>
      </c>
      <c r="B953" s="33" t="s">
        <v>2364</v>
      </c>
      <c r="C953" s="33" t="s">
        <v>685</v>
      </c>
      <c r="D953" s="33"/>
      <c r="E953" s="33"/>
      <c r="F953" s="33"/>
      <c r="G953" s="33"/>
      <c r="H953" s="33"/>
      <c r="I953" s="33"/>
      <c r="J953" s="33"/>
      <c r="K953" s="33"/>
    </row>
    <row r="954" spans="1:11" ht="15.75">
      <c r="A954" s="33" t="s">
        <v>2528</v>
      </c>
      <c r="B954" s="33" t="s">
        <v>2364</v>
      </c>
      <c r="C954" s="33" t="s">
        <v>7</v>
      </c>
      <c r="D954" s="33"/>
      <c r="E954" s="33"/>
      <c r="F954" s="33"/>
      <c r="G954" s="33"/>
      <c r="H954" s="33"/>
      <c r="I954" s="33"/>
      <c r="J954" s="33"/>
      <c r="K954" s="33"/>
    </row>
    <row r="955" spans="1:11" ht="15.75">
      <c r="A955" s="33" t="s">
        <v>2529</v>
      </c>
      <c r="B955" s="33" t="s">
        <v>2364</v>
      </c>
      <c r="C955" s="33" t="s">
        <v>82</v>
      </c>
      <c r="D955" s="33"/>
      <c r="E955" s="33"/>
      <c r="F955" s="33"/>
      <c r="G955" s="33"/>
      <c r="H955" s="33"/>
      <c r="I955" s="33"/>
      <c r="J955" s="33"/>
      <c r="K955" s="33"/>
    </row>
    <row r="956" spans="1:11" ht="15.75">
      <c r="A956" s="33" t="s">
        <v>2530</v>
      </c>
      <c r="B956" s="33" t="s">
        <v>2364</v>
      </c>
      <c r="C956" s="33" t="s">
        <v>409</v>
      </c>
      <c r="D956" s="33"/>
      <c r="E956" s="33"/>
      <c r="F956" s="33"/>
      <c r="G956" s="33"/>
      <c r="H956" s="33"/>
      <c r="I956" s="33"/>
      <c r="J956" s="33"/>
      <c r="K956" s="33"/>
    </row>
    <row r="957" spans="1:11" ht="15.75">
      <c r="A957" s="33" t="s">
        <v>2531</v>
      </c>
      <c r="B957" s="33" t="s">
        <v>2364</v>
      </c>
      <c r="C957" s="33" t="s">
        <v>739</v>
      </c>
      <c r="D957" s="33"/>
      <c r="E957" s="33"/>
      <c r="F957" s="33"/>
      <c r="G957" s="33"/>
      <c r="H957" s="33"/>
      <c r="I957" s="33"/>
      <c r="J957" s="33"/>
      <c r="K957" s="33"/>
    </row>
    <row r="958" spans="1:11" ht="15.75">
      <c r="A958" s="33" t="s">
        <v>2532</v>
      </c>
      <c r="B958" s="33" t="s">
        <v>2364</v>
      </c>
      <c r="C958" s="33" t="s">
        <v>541</v>
      </c>
      <c r="D958" s="33"/>
      <c r="E958" s="33"/>
      <c r="F958" s="33"/>
      <c r="G958" s="33"/>
      <c r="H958" s="33"/>
      <c r="I958" s="33"/>
      <c r="J958" s="33"/>
      <c r="K958" s="33"/>
    </row>
    <row r="959" spans="1:11" ht="15.75">
      <c r="A959" s="33" t="s">
        <v>2533</v>
      </c>
      <c r="B959" s="33" t="s">
        <v>2364</v>
      </c>
      <c r="C959" s="33" t="s">
        <v>316</v>
      </c>
      <c r="D959" s="33"/>
      <c r="E959" s="33"/>
      <c r="F959" s="33"/>
      <c r="G959" s="33"/>
      <c r="H959" s="33"/>
      <c r="I959" s="33"/>
      <c r="J959" s="33"/>
      <c r="K959" s="33"/>
    </row>
    <row r="960" spans="1:11" ht="15.75">
      <c r="A960" s="33" t="s">
        <v>2534</v>
      </c>
      <c r="B960" s="33" t="s">
        <v>2364</v>
      </c>
      <c r="C960" s="33" t="s">
        <v>904</v>
      </c>
      <c r="D960" s="33"/>
      <c r="E960" s="33"/>
      <c r="F960" s="33"/>
      <c r="G960" s="33"/>
      <c r="H960" s="33"/>
      <c r="I960" s="33"/>
      <c r="J960" s="33"/>
      <c r="K960" s="33"/>
    </row>
    <row r="961" spans="1:11" ht="15.75">
      <c r="A961" s="33" t="s">
        <v>2535</v>
      </c>
      <c r="B961" s="33" t="s">
        <v>2364</v>
      </c>
      <c r="C961" s="33" t="s">
        <v>2536</v>
      </c>
      <c r="D961" s="33"/>
      <c r="E961" s="33"/>
      <c r="F961" s="33"/>
      <c r="G961" s="33"/>
      <c r="H961" s="33"/>
      <c r="I961" s="33"/>
      <c r="J961" s="33"/>
      <c r="K961" s="33"/>
    </row>
    <row r="962" spans="1:11" ht="15.75">
      <c r="A962" s="33" t="s">
        <v>2537</v>
      </c>
      <c r="B962" s="33" t="s">
        <v>2364</v>
      </c>
      <c r="C962" s="33" t="s">
        <v>42</v>
      </c>
      <c r="D962" s="33"/>
      <c r="E962" s="33"/>
      <c r="F962" s="33"/>
      <c r="G962" s="33"/>
      <c r="H962" s="33"/>
      <c r="I962" s="33"/>
      <c r="J962" s="33"/>
      <c r="K962" s="33"/>
    </row>
    <row r="963" spans="1:11" ht="15.75">
      <c r="A963" s="33" t="s">
        <v>2538</v>
      </c>
      <c r="B963" s="33" t="s">
        <v>2364</v>
      </c>
      <c r="C963" s="33" t="s">
        <v>44</v>
      </c>
      <c r="D963" s="33"/>
      <c r="E963" s="33"/>
      <c r="F963" s="33"/>
      <c r="G963" s="33"/>
      <c r="H963" s="33"/>
      <c r="I963" s="33"/>
      <c r="J963" s="33"/>
      <c r="K963" s="33"/>
    </row>
    <row r="964" spans="1:11" ht="15.75">
      <c r="A964" s="33" t="s">
        <v>2539</v>
      </c>
      <c r="B964" s="33" t="s">
        <v>2364</v>
      </c>
      <c r="C964" s="33" t="s">
        <v>902</v>
      </c>
      <c r="D964" s="33"/>
      <c r="E964" s="33"/>
      <c r="F964" s="33"/>
      <c r="G964" s="33"/>
      <c r="H964" s="33"/>
      <c r="I964" s="33"/>
      <c r="J964" s="33"/>
      <c r="K964" s="33"/>
    </row>
    <row r="965" spans="1:11" ht="15.75">
      <c r="A965" s="33" t="s">
        <v>2540</v>
      </c>
      <c r="B965" s="33" t="s">
        <v>2364</v>
      </c>
      <c r="C965" s="33" t="s">
        <v>283</v>
      </c>
      <c r="D965" s="33"/>
      <c r="E965" s="33"/>
      <c r="F965" s="33"/>
      <c r="G965" s="33"/>
      <c r="H965" s="33"/>
      <c r="I965" s="33"/>
      <c r="J965" s="33"/>
      <c r="K965" s="33"/>
    </row>
    <row r="966" spans="1:11" ht="15.75">
      <c r="A966" s="33" t="s">
        <v>2541</v>
      </c>
      <c r="B966" s="33" t="s">
        <v>2364</v>
      </c>
      <c r="C966" s="33" t="s">
        <v>457</v>
      </c>
      <c r="D966" s="33"/>
      <c r="E966" s="33"/>
      <c r="F966" s="33"/>
      <c r="G966" s="33"/>
      <c r="H966" s="33"/>
      <c r="I966" s="33"/>
      <c r="J966" s="33"/>
      <c r="K966" s="33"/>
    </row>
    <row r="967" spans="1:11" ht="15.75">
      <c r="A967" s="33" t="s">
        <v>2542</v>
      </c>
      <c r="B967" s="33" t="s">
        <v>2364</v>
      </c>
      <c r="C967" s="33" t="s">
        <v>796</v>
      </c>
      <c r="D967" s="33"/>
      <c r="E967" s="33"/>
      <c r="F967" s="33"/>
      <c r="G967" s="33"/>
      <c r="H967" s="33"/>
      <c r="I967" s="33"/>
      <c r="J967" s="33"/>
      <c r="K967" s="33"/>
    </row>
    <row r="968" spans="1:11" ht="15.75">
      <c r="A968" s="33" t="s">
        <v>2543</v>
      </c>
      <c r="B968" s="33" t="s">
        <v>2364</v>
      </c>
      <c r="C968" s="33" t="s">
        <v>343</v>
      </c>
      <c r="D968" s="33"/>
      <c r="E968" s="33"/>
      <c r="F968" s="33"/>
      <c r="G968" s="33"/>
      <c r="H968" s="33"/>
      <c r="I968" s="33"/>
      <c r="J968" s="33"/>
      <c r="K968" s="33"/>
    </row>
    <row r="969" spans="1:11" ht="15.75">
      <c r="A969" s="33" t="s">
        <v>2544</v>
      </c>
      <c r="B969" s="33" t="s">
        <v>2364</v>
      </c>
      <c r="C969" s="33" t="s">
        <v>2545</v>
      </c>
      <c r="D969" s="33"/>
      <c r="E969" s="33"/>
      <c r="F969" s="33"/>
      <c r="G969" s="33"/>
      <c r="H969" s="33"/>
      <c r="I969" s="33"/>
      <c r="J969" s="33"/>
      <c r="K969" s="33"/>
    </row>
    <row r="970" spans="1:11" ht="15.75">
      <c r="A970" s="33" t="s">
        <v>2546</v>
      </c>
      <c r="B970" s="33" t="s">
        <v>2364</v>
      </c>
      <c r="C970" s="33" t="s">
        <v>349</v>
      </c>
      <c r="D970" s="33"/>
      <c r="E970" s="33"/>
      <c r="F970" s="33"/>
      <c r="G970" s="33"/>
      <c r="H970" s="33"/>
      <c r="I970" s="33"/>
      <c r="J970" s="33"/>
      <c r="K970" s="33"/>
    </row>
    <row r="971" spans="1:11" ht="15.75">
      <c r="A971" s="33" t="s">
        <v>2547</v>
      </c>
      <c r="B971" s="33" t="s">
        <v>2364</v>
      </c>
      <c r="C971" s="33" t="s">
        <v>847</v>
      </c>
      <c r="D971" s="33"/>
      <c r="E971" s="33"/>
      <c r="F971" s="33"/>
      <c r="G971" s="33"/>
      <c r="H971" s="33"/>
      <c r="I971" s="33"/>
      <c r="J971" s="33"/>
      <c r="K971" s="33"/>
    </row>
    <row r="972" spans="1:11" ht="15.75">
      <c r="A972" s="33" t="s">
        <v>2548</v>
      </c>
      <c r="B972" s="33" t="s">
        <v>2364</v>
      </c>
      <c r="C972" s="33" t="s">
        <v>607</v>
      </c>
      <c r="D972" s="33"/>
      <c r="E972" s="33"/>
      <c r="F972" s="33"/>
      <c r="G972" s="33"/>
      <c r="H972" s="33"/>
      <c r="I972" s="33"/>
      <c r="J972" s="33"/>
      <c r="K972" s="33"/>
    </row>
    <row r="973" spans="1:11" ht="15.75">
      <c r="A973" s="33" t="s">
        <v>2549</v>
      </c>
      <c r="B973" s="33" t="s">
        <v>2364</v>
      </c>
      <c r="C973" s="33" t="s">
        <v>637</v>
      </c>
      <c r="D973" s="33"/>
      <c r="E973" s="33"/>
      <c r="F973" s="33"/>
      <c r="G973" s="33"/>
      <c r="H973" s="33"/>
      <c r="I973" s="33"/>
      <c r="J973" s="33"/>
      <c r="K973" s="33"/>
    </row>
    <row r="974" spans="1:11" ht="15.75">
      <c r="A974" s="33" t="s">
        <v>2550</v>
      </c>
      <c r="B974" s="33" t="s">
        <v>2364</v>
      </c>
      <c r="C974" s="33" t="s">
        <v>325</v>
      </c>
      <c r="D974" s="33"/>
      <c r="E974" s="33"/>
      <c r="F974" s="33"/>
      <c r="G974" s="33"/>
      <c r="H974" s="33"/>
      <c r="I974" s="33"/>
      <c r="J974" s="33"/>
      <c r="K974" s="33"/>
    </row>
    <row r="975" spans="1:11" ht="15.75">
      <c r="A975" s="33" t="s">
        <v>2551</v>
      </c>
      <c r="B975" s="33" t="s">
        <v>2364</v>
      </c>
      <c r="C975" s="33" t="s">
        <v>2552</v>
      </c>
      <c r="D975" s="33"/>
      <c r="E975" s="33"/>
      <c r="F975" s="33"/>
      <c r="G975" s="33"/>
      <c r="H975" s="33"/>
      <c r="I975" s="33"/>
      <c r="J975" s="33"/>
      <c r="K975" s="33"/>
    </row>
    <row r="976" spans="1:11" ht="15.75">
      <c r="A976" s="33" t="s">
        <v>2553</v>
      </c>
      <c r="B976" s="33" t="s">
        <v>2364</v>
      </c>
      <c r="C976" s="33" t="s">
        <v>287</v>
      </c>
      <c r="D976" s="33"/>
      <c r="E976" s="33"/>
      <c r="F976" s="33"/>
      <c r="G976" s="33"/>
      <c r="H976" s="33"/>
      <c r="I976" s="33"/>
      <c r="J976" s="33"/>
      <c r="K976" s="33"/>
    </row>
    <row r="977" spans="1:11" ht="15.75">
      <c r="A977" s="33" t="s">
        <v>2554</v>
      </c>
      <c r="B977" s="33" t="s">
        <v>2364</v>
      </c>
      <c r="C977" s="33" t="s">
        <v>2555</v>
      </c>
      <c r="D977" s="33"/>
      <c r="E977" s="33"/>
      <c r="F977" s="33"/>
      <c r="G977" s="33"/>
      <c r="H977" s="33"/>
      <c r="I977" s="33"/>
      <c r="J977" s="33"/>
      <c r="K977" s="33"/>
    </row>
    <row r="978" spans="1:11" ht="15.75">
      <c r="A978" s="33" t="s">
        <v>2556</v>
      </c>
      <c r="B978" s="33" t="s">
        <v>2364</v>
      </c>
      <c r="C978" s="33" t="s">
        <v>475</v>
      </c>
      <c r="D978" s="33"/>
      <c r="E978" s="33"/>
      <c r="F978" s="33"/>
      <c r="G978" s="33"/>
      <c r="H978" s="33"/>
      <c r="I978" s="33"/>
      <c r="J978" s="33"/>
      <c r="K978" s="33"/>
    </row>
    <row r="979" spans="1:11" ht="15.75">
      <c r="A979" s="33" t="s">
        <v>2557</v>
      </c>
      <c r="B979" s="33" t="s">
        <v>2364</v>
      </c>
      <c r="C979" s="33" t="s">
        <v>514</v>
      </c>
      <c r="D979" s="33"/>
      <c r="E979" s="33"/>
      <c r="F979" s="33"/>
      <c r="G979" s="33"/>
      <c r="H979" s="33"/>
      <c r="I979" s="33"/>
      <c r="J979" s="33"/>
      <c r="K979" s="33"/>
    </row>
    <row r="980" spans="1:11" ht="15.75">
      <c r="A980" s="33" t="s">
        <v>2558</v>
      </c>
      <c r="B980" s="33" t="s">
        <v>2364</v>
      </c>
      <c r="C980" s="33" t="s">
        <v>592</v>
      </c>
      <c r="D980" s="33"/>
      <c r="E980" s="33"/>
      <c r="F980" s="33"/>
      <c r="G980" s="33"/>
      <c r="H980" s="33"/>
      <c r="I980" s="33"/>
      <c r="J980" s="33"/>
      <c r="K980" s="33"/>
    </row>
    <row r="981" spans="1:11" ht="15.75">
      <c r="A981" s="33" t="s">
        <v>2559</v>
      </c>
      <c r="B981" s="33" t="s">
        <v>2364</v>
      </c>
      <c r="C981" s="33" t="s">
        <v>45</v>
      </c>
      <c r="D981" s="33"/>
      <c r="E981" s="33"/>
      <c r="F981" s="33"/>
      <c r="G981" s="33"/>
      <c r="H981" s="33"/>
      <c r="I981" s="33"/>
      <c r="J981" s="33"/>
      <c r="K981" s="33"/>
    </row>
    <row r="982" spans="1:11" ht="15.75">
      <c r="A982" s="33" t="s">
        <v>2560</v>
      </c>
      <c r="B982" s="33" t="s">
        <v>2364</v>
      </c>
      <c r="C982" s="33" t="s">
        <v>784</v>
      </c>
      <c r="D982" s="33"/>
      <c r="E982" s="33"/>
      <c r="F982" s="33"/>
      <c r="G982" s="33"/>
      <c r="H982" s="33"/>
      <c r="I982" s="33"/>
      <c r="J982" s="33"/>
      <c r="K982" s="33"/>
    </row>
    <row r="983" spans="1:11" ht="15.75">
      <c r="A983" s="33" t="s">
        <v>2561</v>
      </c>
      <c r="B983" s="33" t="s">
        <v>2364</v>
      </c>
      <c r="C983" s="33" t="s">
        <v>239</v>
      </c>
      <c r="D983" s="33"/>
      <c r="E983" s="33"/>
      <c r="F983" s="33"/>
      <c r="G983" s="33"/>
      <c r="H983" s="33"/>
      <c r="I983" s="33"/>
      <c r="J983" s="33"/>
      <c r="K983" s="33"/>
    </row>
    <row r="984" spans="1:11" ht="15.75">
      <c r="A984" s="33" t="s">
        <v>2562</v>
      </c>
      <c r="B984" s="33" t="s">
        <v>2364</v>
      </c>
      <c r="C984" s="33" t="s">
        <v>877</v>
      </c>
      <c r="D984" s="33"/>
      <c r="E984" s="33"/>
      <c r="F984" s="33"/>
      <c r="G984" s="33"/>
      <c r="H984" s="33"/>
      <c r="I984" s="33"/>
      <c r="J984" s="33"/>
      <c r="K984" s="33"/>
    </row>
    <row r="985" spans="1:11" ht="15.75">
      <c r="A985" s="33" t="s">
        <v>2563</v>
      </c>
      <c r="B985" s="33" t="s">
        <v>2364</v>
      </c>
      <c r="C985" s="33" t="s">
        <v>72</v>
      </c>
      <c r="D985" s="33"/>
      <c r="E985" s="33"/>
      <c r="F985" s="33"/>
      <c r="G985" s="33"/>
      <c r="H985" s="33"/>
      <c r="I985" s="33"/>
      <c r="J985" s="33"/>
      <c r="K985" s="33"/>
    </row>
    <row r="986" spans="1:11" ht="15.75">
      <c r="A986" s="33" t="s">
        <v>2564</v>
      </c>
      <c r="B986" s="33" t="s">
        <v>2364</v>
      </c>
      <c r="C986" s="33" t="s">
        <v>655</v>
      </c>
      <c r="D986" s="33"/>
      <c r="E986" s="33"/>
      <c r="F986" s="33"/>
      <c r="G986" s="33"/>
      <c r="H986" s="33"/>
      <c r="I986" s="33"/>
      <c r="J986" s="33"/>
      <c r="K986" s="33"/>
    </row>
    <row r="987" spans="1:11" ht="15.75">
      <c r="A987" s="33" t="s">
        <v>2565</v>
      </c>
      <c r="B987" s="33" t="s">
        <v>2364</v>
      </c>
      <c r="C987" s="33" t="s">
        <v>586</v>
      </c>
      <c r="D987" s="33"/>
      <c r="E987" s="33"/>
      <c r="F987" s="33"/>
      <c r="G987" s="33"/>
      <c r="H987" s="33"/>
      <c r="I987" s="33"/>
      <c r="J987" s="33"/>
      <c r="K987" s="33"/>
    </row>
    <row r="988" spans="1:11" ht="15.75">
      <c r="A988" s="33" t="s">
        <v>2566</v>
      </c>
      <c r="B988" s="33" t="s">
        <v>2364</v>
      </c>
      <c r="C988" s="33" t="s">
        <v>48</v>
      </c>
      <c r="D988" s="33"/>
      <c r="E988" s="33"/>
      <c r="F988" s="33"/>
      <c r="G988" s="33"/>
      <c r="H988" s="33"/>
      <c r="I988" s="33"/>
      <c r="J988" s="33"/>
      <c r="K988" s="33"/>
    </row>
    <row r="989" spans="1:11" ht="15.75">
      <c r="A989" s="33" t="s">
        <v>2567</v>
      </c>
      <c r="B989" s="33" t="s">
        <v>2364</v>
      </c>
      <c r="C989" s="33" t="s">
        <v>706</v>
      </c>
      <c r="D989" s="33"/>
      <c r="E989" s="33"/>
      <c r="F989" s="33"/>
      <c r="G989" s="33"/>
      <c r="H989" s="33"/>
      <c r="I989" s="33"/>
      <c r="J989" s="33"/>
      <c r="K989" s="33"/>
    </row>
    <row r="990" spans="1:11" ht="15.75">
      <c r="A990" s="33" t="s">
        <v>2568</v>
      </c>
      <c r="B990" s="33" t="s">
        <v>2364</v>
      </c>
      <c r="C990" s="33" t="s">
        <v>199</v>
      </c>
      <c r="D990" s="33"/>
      <c r="E990" s="33"/>
      <c r="F990" s="33"/>
      <c r="G990" s="33"/>
      <c r="H990" s="33"/>
      <c r="I990" s="33"/>
      <c r="J990" s="33"/>
      <c r="K990" s="33"/>
    </row>
    <row r="991" spans="1:11" ht="15.75">
      <c r="A991" s="33" t="s">
        <v>2569</v>
      </c>
      <c r="B991" s="33" t="s">
        <v>2364</v>
      </c>
      <c r="C991" s="33" t="s">
        <v>850</v>
      </c>
      <c r="D991" s="33"/>
      <c r="E991" s="33"/>
      <c r="F991" s="33"/>
      <c r="G991" s="33"/>
      <c r="H991" s="33"/>
      <c r="I991" s="33"/>
      <c r="J991" s="33"/>
      <c r="K991" s="33"/>
    </row>
    <row r="992" spans="1:11" ht="15.75">
      <c r="A992" s="33" t="s">
        <v>2570</v>
      </c>
      <c r="B992" s="33" t="s">
        <v>2364</v>
      </c>
      <c r="C992" s="33" t="s">
        <v>550</v>
      </c>
      <c r="D992" s="33"/>
      <c r="E992" s="33"/>
      <c r="F992" s="33"/>
      <c r="G992" s="33"/>
      <c r="H992" s="33"/>
      <c r="I992" s="33"/>
      <c r="J992" s="33"/>
      <c r="K992" s="33"/>
    </row>
    <row r="993" spans="1:11" ht="15.75">
      <c r="A993" s="33" t="s">
        <v>2571</v>
      </c>
      <c r="B993" s="33" t="s">
        <v>2364</v>
      </c>
      <c r="C993" s="33" t="s">
        <v>436</v>
      </c>
      <c r="D993" s="33"/>
      <c r="E993" s="33"/>
      <c r="F993" s="33"/>
      <c r="G993" s="33"/>
      <c r="H993" s="33"/>
      <c r="I993" s="33"/>
      <c r="J993" s="33"/>
      <c r="K993" s="33"/>
    </row>
    <row r="994" spans="1:11" ht="15.75">
      <c r="A994" s="33" t="s">
        <v>2572</v>
      </c>
      <c r="B994" s="33" t="s">
        <v>2364</v>
      </c>
      <c r="C994" s="33" t="s">
        <v>583</v>
      </c>
      <c r="D994" s="33"/>
      <c r="E994" s="33"/>
      <c r="F994" s="33"/>
      <c r="G994" s="33"/>
      <c r="H994" s="33"/>
      <c r="I994" s="33"/>
      <c r="J994" s="33"/>
      <c r="K994" s="33"/>
    </row>
    <row r="995" spans="1:11" ht="15.75">
      <c r="A995" s="33" t="s">
        <v>2573</v>
      </c>
      <c r="B995" s="33" t="s">
        <v>2364</v>
      </c>
      <c r="C995" s="33" t="s">
        <v>814</v>
      </c>
      <c r="D995" s="33"/>
      <c r="E995" s="33"/>
      <c r="F995" s="33"/>
      <c r="G995" s="33"/>
      <c r="H995" s="33"/>
      <c r="I995" s="33"/>
      <c r="J995" s="33"/>
      <c r="K995" s="33"/>
    </row>
    <row r="996" spans="1:11" ht="15.75">
      <c r="A996" s="33" t="s">
        <v>2574</v>
      </c>
      <c r="B996" s="33" t="s">
        <v>2364</v>
      </c>
      <c r="C996" s="33" t="s">
        <v>652</v>
      </c>
      <c r="D996" s="33"/>
      <c r="E996" s="33"/>
      <c r="F996" s="33"/>
      <c r="G996" s="33"/>
      <c r="H996" s="33"/>
      <c r="I996" s="33"/>
      <c r="J996" s="33"/>
      <c r="K996" s="33"/>
    </row>
    <row r="997" spans="1:11" ht="15.75">
      <c r="A997" s="33" t="s">
        <v>2575</v>
      </c>
      <c r="B997" s="33" t="s">
        <v>2364</v>
      </c>
      <c r="C997" s="33" t="s">
        <v>63</v>
      </c>
      <c r="D997" s="33"/>
      <c r="E997" s="33"/>
      <c r="F997" s="33"/>
      <c r="G997" s="33"/>
      <c r="H997" s="33"/>
      <c r="I997" s="33"/>
      <c r="J997" s="33"/>
      <c r="K997" s="33"/>
    </row>
    <row r="998" spans="1:11" ht="15.75">
      <c r="A998" s="33" t="s">
        <v>2576</v>
      </c>
      <c r="B998" s="33" t="s">
        <v>2364</v>
      </c>
      <c r="C998" s="33" t="s">
        <v>191</v>
      </c>
      <c r="D998" s="33"/>
      <c r="E998" s="33"/>
      <c r="F998" s="33"/>
      <c r="G998" s="33"/>
      <c r="H998" s="33"/>
      <c r="I998" s="33"/>
      <c r="J998" s="33"/>
      <c r="K998" s="33"/>
    </row>
    <row r="999" spans="1:11" ht="15.75">
      <c r="A999" s="33" t="s">
        <v>2577</v>
      </c>
      <c r="B999" s="33" t="s">
        <v>2364</v>
      </c>
      <c r="C999" s="33" t="s">
        <v>610</v>
      </c>
      <c r="D999" s="33"/>
      <c r="E999" s="33"/>
      <c r="F999" s="33"/>
      <c r="G999" s="33"/>
      <c r="H999" s="33"/>
      <c r="I999" s="33"/>
      <c r="J999" s="33"/>
      <c r="K999" s="33"/>
    </row>
    <row r="1000" spans="1:11" ht="15.75">
      <c r="A1000" s="33" t="s">
        <v>2578</v>
      </c>
      <c r="B1000" s="33" t="s">
        <v>2364</v>
      </c>
      <c r="C1000" s="33" t="s">
        <v>691</v>
      </c>
      <c r="D1000" s="33"/>
      <c r="E1000" s="33"/>
      <c r="F1000" s="33"/>
      <c r="G1000" s="33"/>
      <c r="H1000" s="33"/>
      <c r="I1000" s="33"/>
      <c r="J1000" s="33"/>
      <c r="K1000" s="33"/>
    </row>
    <row r="1001" spans="1:11" ht="15.75">
      <c r="A1001" s="33" t="s">
        <v>2579</v>
      </c>
      <c r="B1001" s="33" t="s">
        <v>2364</v>
      </c>
      <c r="C1001" s="33" t="s">
        <v>255</v>
      </c>
      <c r="D1001" s="33"/>
      <c r="E1001" s="33"/>
      <c r="F1001" s="33"/>
      <c r="G1001" s="33"/>
      <c r="H1001" s="33"/>
      <c r="I1001" s="33"/>
      <c r="J1001" s="33"/>
      <c r="K1001" s="33"/>
    </row>
    <row r="1002" spans="1:11" ht="15.75">
      <c r="A1002" s="33" t="s">
        <v>2580</v>
      </c>
      <c r="B1002" s="33" t="s">
        <v>2364</v>
      </c>
      <c r="C1002" s="33" t="s">
        <v>529</v>
      </c>
      <c r="D1002" s="33"/>
      <c r="E1002" s="33"/>
      <c r="F1002" s="33"/>
      <c r="G1002" s="33"/>
      <c r="H1002" s="33"/>
      <c r="I1002" s="33"/>
      <c r="J1002" s="33"/>
      <c r="K1002" s="33"/>
    </row>
    <row r="1003" spans="1:11" ht="15.75">
      <c r="A1003" s="33" t="s">
        <v>2581</v>
      </c>
      <c r="B1003" s="33" t="s">
        <v>2364</v>
      </c>
      <c r="C1003" s="33" t="s">
        <v>301</v>
      </c>
      <c r="D1003" s="33"/>
      <c r="E1003" s="33"/>
      <c r="F1003" s="33"/>
      <c r="G1003" s="33"/>
      <c r="H1003" s="33"/>
      <c r="I1003" s="33"/>
      <c r="J1003" s="33"/>
      <c r="K1003" s="33"/>
    </row>
    <row r="1004" spans="1:11" ht="15.75">
      <c r="A1004" s="33" t="s">
        <v>2582</v>
      </c>
      <c r="B1004" s="33" t="s">
        <v>2364</v>
      </c>
      <c r="C1004" s="33" t="s">
        <v>604</v>
      </c>
      <c r="D1004" s="33"/>
      <c r="E1004" s="33"/>
      <c r="F1004" s="33"/>
      <c r="G1004" s="33"/>
      <c r="H1004" s="33"/>
      <c r="I1004" s="33"/>
      <c r="J1004" s="33"/>
      <c r="K1004" s="33"/>
    </row>
    <row r="1005" spans="1:11" ht="15.75">
      <c r="A1005" s="33" t="s">
        <v>2583</v>
      </c>
      <c r="B1005" s="33" t="s">
        <v>2364</v>
      </c>
      <c r="C1005" s="33" t="s">
        <v>328</v>
      </c>
      <c r="D1005" s="33"/>
      <c r="E1005" s="33"/>
      <c r="F1005" s="33"/>
      <c r="G1005" s="33"/>
      <c r="H1005" s="33"/>
      <c r="I1005" s="33"/>
      <c r="J1005" s="33"/>
      <c r="K1005" s="33"/>
    </row>
    <row r="1006" spans="1:11" ht="15.75">
      <c r="A1006" s="33" t="s">
        <v>2584</v>
      </c>
      <c r="B1006" s="33" t="s">
        <v>2364</v>
      </c>
      <c r="C1006" s="33" t="s">
        <v>451</v>
      </c>
      <c r="D1006" s="33"/>
      <c r="E1006" s="33"/>
      <c r="F1006" s="33"/>
      <c r="G1006" s="33"/>
      <c r="H1006" s="33"/>
      <c r="I1006" s="33"/>
      <c r="J1006" s="33"/>
      <c r="K1006" s="33"/>
    </row>
    <row r="1007" spans="1:11" ht="15.75">
      <c r="A1007" s="33" t="s">
        <v>2585</v>
      </c>
      <c r="B1007" s="33" t="s">
        <v>2364</v>
      </c>
      <c r="C1007" s="33" t="s">
        <v>673</v>
      </c>
      <c r="D1007" s="33"/>
      <c r="E1007" s="33"/>
      <c r="F1007" s="33"/>
      <c r="G1007" s="33"/>
      <c r="H1007" s="33"/>
      <c r="I1007" s="33"/>
      <c r="J1007" s="33"/>
      <c r="K1007" s="33"/>
    </row>
    <row r="1008" spans="1:11" ht="15.75">
      <c r="A1008" s="33" t="s">
        <v>2586</v>
      </c>
      <c r="B1008" s="33" t="s">
        <v>2364</v>
      </c>
      <c r="C1008" s="33" t="s">
        <v>364</v>
      </c>
      <c r="D1008" s="33"/>
      <c r="E1008" s="33"/>
      <c r="F1008" s="33"/>
      <c r="G1008" s="33"/>
      <c r="H1008" s="33"/>
      <c r="I1008" s="33"/>
      <c r="J1008" s="33"/>
      <c r="K1008" s="33"/>
    </row>
    <row r="1009" spans="1:11" ht="15.75">
      <c r="A1009" s="33" t="s">
        <v>2587</v>
      </c>
      <c r="B1009" s="33" t="s">
        <v>2364</v>
      </c>
      <c r="C1009" s="33" t="s">
        <v>640</v>
      </c>
      <c r="D1009" s="33"/>
      <c r="E1009" s="33"/>
      <c r="F1009" s="33"/>
      <c r="G1009" s="33"/>
      <c r="H1009" s="33"/>
      <c r="I1009" s="33"/>
      <c r="J1009" s="33"/>
      <c r="K1009" s="33"/>
    </row>
    <row r="1010" spans="1:11" ht="15.75">
      <c r="A1010" s="33" t="s">
        <v>2588</v>
      </c>
      <c r="B1010" s="33" t="s">
        <v>2364</v>
      </c>
      <c r="C1010" s="33" t="s">
        <v>883</v>
      </c>
      <c r="D1010" s="33"/>
      <c r="E1010" s="33"/>
      <c r="F1010" s="33"/>
      <c r="G1010" s="33"/>
      <c r="H1010" s="33"/>
      <c r="I1010" s="33"/>
      <c r="J1010" s="33"/>
      <c r="K1010" s="33"/>
    </row>
    <row r="1011" spans="1:11" ht="15.75">
      <c r="A1011" s="33" t="s">
        <v>2589</v>
      </c>
      <c r="B1011" s="33" t="s">
        <v>2364</v>
      </c>
      <c r="C1011" s="33" t="s">
        <v>547</v>
      </c>
      <c r="D1011" s="33"/>
      <c r="E1011" s="33"/>
      <c r="F1011" s="33"/>
      <c r="G1011" s="33"/>
      <c r="H1011" s="33"/>
      <c r="I1011" s="33"/>
      <c r="J1011" s="33"/>
      <c r="K1011" s="33"/>
    </row>
    <row r="1012" spans="1:11" ht="15.75">
      <c r="A1012" s="33" t="s">
        <v>2590</v>
      </c>
      <c r="B1012" s="33" t="s">
        <v>2364</v>
      </c>
      <c r="C1012" s="33" t="s">
        <v>790</v>
      </c>
      <c r="D1012" s="33"/>
      <c r="E1012" s="33"/>
      <c r="F1012" s="33"/>
      <c r="G1012" s="33"/>
      <c r="H1012" s="33"/>
      <c r="I1012" s="33"/>
      <c r="J1012" s="33"/>
      <c r="K1012" s="33"/>
    </row>
    <row r="1013" spans="1:11" ht="15.75">
      <c r="A1013" s="33" t="s">
        <v>2591</v>
      </c>
      <c r="B1013" s="33" t="s">
        <v>2364</v>
      </c>
      <c r="C1013" s="33" t="s">
        <v>163</v>
      </c>
      <c r="D1013" s="33"/>
      <c r="E1013" s="33"/>
      <c r="F1013" s="33"/>
      <c r="G1013" s="33"/>
      <c r="H1013" s="33"/>
      <c r="I1013" s="33"/>
      <c r="J1013" s="33"/>
      <c r="K1013" s="33"/>
    </row>
    <row r="1014" spans="1:11" ht="15.75">
      <c r="A1014" s="33" t="s">
        <v>2592</v>
      </c>
      <c r="B1014" s="33" t="s">
        <v>2364</v>
      </c>
      <c r="C1014" s="33" t="s">
        <v>892</v>
      </c>
      <c r="D1014" s="33"/>
      <c r="E1014" s="33"/>
      <c r="F1014" s="33"/>
      <c r="G1014" s="33"/>
      <c r="H1014" s="33"/>
      <c r="I1014" s="33"/>
      <c r="J1014" s="33"/>
      <c r="K1014" s="33"/>
    </row>
    <row r="1015" spans="1:11" ht="15.75">
      <c r="A1015" s="33" t="s">
        <v>2593</v>
      </c>
      <c r="B1015" s="33" t="s">
        <v>2364</v>
      </c>
      <c r="C1015" s="33" t="s">
        <v>718</v>
      </c>
      <c r="D1015" s="33"/>
      <c r="E1015" s="33"/>
      <c r="F1015" s="33"/>
      <c r="G1015" s="33"/>
      <c r="H1015" s="33"/>
      <c r="I1015" s="33"/>
      <c r="J1015" s="33"/>
      <c r="K1015" s="33"/>
    </row>
    <row r="1016" spans="1:11" ht="15.75">
      <c r="A1016" s="33" t="s">
        <v>2594</v>
      </c>
      <c r="B1016" s="33" t="s">
        <v>2364</v>
      </c>
      <c r="C1016" s="33" t="s">
        <v>251</v>
      </c>
      <c r="D1016" s="33"/>
      <c r="E1016" s="33"/>
      <c r="F1016" s="33"/>
      <c r="G1016" s="33"/>
      <c r="H1016" s="33"/>
      <c r="I1016" s="33"/>
      <c r="J1016" s="33"/>
      <c r="K1016" s="33"/>
    </row>
    <row r="1017" spans="1:11" ht="15.75">
      <c r="A1017" s="33" t="s">
        <v>2595</v>
      </c>
      <c r="B1017" s="33" t="s">
        <v>2364</v>
      </c>
      <c r="C1017" s="33" t="s">
        <v>724</v>
      </c>
      <c r="D1017" s="33"/>
      <c r="E1017" s="33"/>
      <c r="F1017" s="33"/>
      <c r="G1017" s="33"/>
      <c r="H1017" s="33"/>
      <c r="I1017" s="33"/>
      <c r="J1017" s="33"/>
      <c r="K1017" s="33"/>
    </row>
    <row r="1018" spans="1:11" ht="15.75">
      <c r="A1018" s="33" t="s">
        <v>2596</v>
      </c>
      <c r="B1018" s="33" t="s">
        <v>2364</v>
      </c>
      <c r="C1018" s="33" t="s">
        <v>775</v>
      </c>
      <c r="D1018" s="33"/>
      <c r="E1018" s="33"/>
      <c r="F1018" s="33"/>
      <c r="G1018" s="33"/>
      <c r="H1018" s="33"/>
      <c r="I1018" s="33"/>
      <c r="J1018" s="33"/>
      <c r="K1018" s="33"/>
    </row>
    <row r="1019" spans="1:11" ht="15.75">
      <c r="A1019" s="33" t="s">
        <v>2597</v>
      </c>
      <c r="B1019" s="33" t="s">
        <v>2364</v>
      </c>
      <c r="C1019" s="33" t="s">
        <v>175</v>
      </c>
      <c r="D1019" s="33"/>
      <c r="E1019" s="33"/>
      <c r="F1019" s="33"/>
      <c r="G1019" s="33"/>
      <c r="H1019" s="33"/>
      <c r="I1019" s="33"/>
      <c r="J1019" s="33"/>
      <c r="K1019" s="33"/>
    </row>
    <row r="1020" spans="1:11" ht="15.75">
      <c r="A1020" s="33" t="s">
        <v>2598</v>
      </c>
      <c r="B1020" s="33" t="s">
        <v>2364</v>
      </c>
      <c r="C1020" s="33" t="s">
        <v>418</v>
      </c>
      <c r="D1020" s="33"/>
      <c r="E1020" s="33"/>
      <c r="F1020" s="33"/>
      <c r="G1020" s="33"/>
      <c r="H1020" s="33"/>
      <c r="I1020" s="33"/>
      <c r="J1020" s="33"/>
      <c r="K1020" s="33"/>
    </row>
    <row r="1021" spans="1:11" ht="15.75">
      <c r="A1021" s="33" t="s">
        <v>2599</v>
      </c>
      <c r="B1021" s="33" t="s">
        <v>2364</v>
      </c>
      <c r="C1021" s="33" t="s">
        <v>712</v>
      </c>
      <c r="D1021" s="33"/>
      <c r="E1021" s="33"/>
      <c r="F1021" s="33"/>
      <c r="G1021" s="33"/>
      <c r="H1021" s="33"/>
      <c r="I1021" s="33"/>
      <c r="J1021" s="33"/>
      <c r="K1021" s="33"/>
    </row>
    <row r="1022" spans="1:11" ht="15.75">
      <c r="A1022" s="33" t="s">
        <v>2600</v>
      </c>
      <c r="B1022" s="33" t="s">
        <v>2364</v>
      </c>
      <c r="C1022" s="33" t="s">
        <v>787</v>
      </c>
      <c r="D1022" s="33"/>
      <c r="E1022" s="33"/>
      <c r="F1022" s="33"/>
      <c r="G1022" s="33"/>
      <c r="H1022" s="33"/>
      <c r="I1022" s="33"/>
      <c r="J1022" s="33"/>
      <c r="K1022" s="33"/>
    </row>
    <row r="1023" spans="1:11" ht="15.75">
      <c r="A1023" s="33" t="s">
        <v>2601</v>
      </c>
      <c r="B1023" s="33" t="s">
        <v>2364</v>
      </c>
      <c r="C1023" s="33" t="s">
        <v>445</v>
      </c>
      <c r="D1023" s="33"/>
      <c r="E1023" s="33"/>
      <c r="F1023" s="33"/>
      <c r="G1023" s="33"/>
      <c r="H1023" s="33"/>
      <c r="I1023" s="33"/>
      <c r="J1023" s="33"/>
      <c r="K1023" s="33"/>
    </row>
    <row r="1024" spans="1:11" ht="15.75">
      <c r="A1024" s="33" t="s">
        <v>2602</v>
      </c>
      <c r="B1024" s="33" t="s">
        <v>2364</v>
      </c>
      <c r="C1024" s="33" t="s">
        <v>742</v>
      </c>
      <c r="D1024" s="33"/>
      <c r="E1024" s="33"/>
      <c r="F1024" s="33"/>
      <c r="G1024" s="33"/>
      <c r="H1024" s="33"/>
      <c r="I1024" s="33"/>
      <c r="J1024" s="33"/>
      <c r="K1024" s="33"/>
    </row>
    <row r="1025" spans="1:11" ht="15.75">
      <c r="A1025" s="33" t="s">
        <v>2603</v>
      </c>
      <c r="B1025" s="33" t="s">
        <v>2364</v>
      </c>
      <c r="C1025" s="33" t="s">
        <v>167</v>
      </c>
      <c r="D1025" s="33"/>
      <c r="E1025" s="33"/>
      <c r="F1025" s="33"/>
      <c r="G1025" s="33"/>
      <c r="H1025" s="33"/>
      <c r="I1025" s="33"/>
      <c r="J1025" s="33"/>
      <c r="K1025" s="33"/>
    </row>
    <row r="1026" spans="1:11" ht="15.75">
      <c r="A1026" s="33" t="s">
        <v>2604</v>
      </c>
      <c r="B1026" s="33" t="s">
        <v>2364</v>
      </c>
      <c r="C1026" s="33" t="s">
        <v>2057</v>
      </c>
      <c r="D1026" s="33"/>
      <c r="E1026" s="33"/>
      <c r="F1026" s="33"/>
      <c r="G1026" s="33"/>
      <c r="H1026" s="33"/>
      <c r="I1026" s="33"/>
      <c r="J1026" s="33"/>
      <c r="K1026" s="33"/>
    </row>
    <row r="1027" spans="1:11" ht="15.75">
      <c r="A1027" s="33" t="s">
        <v>2605</v>
      </c>
      <c r="B1027" s="33" t="s">
        <v>2364</v>
      </c>
      <c r="C1027" s="33" t="s">
        <v>505</v>
      </c>
      <c r="D1027" s="33"/>
      <c r="E1027" s="33"/>
      <c r="F1027" s="33"/>
      <c r="G1027" s="33"/>
      <c r="H1027" s="33"/>
      <c r="I1027" s="33"/>
      <c r="J1027" s="33"/>
      <c r="K1027" s="33"/>
    </row>
    <row r="1028" spans="1:11" ht="15.75">
      <c r="A1028" s="33" t="s">
        <v>2606</v>
      </c>
      <c r="B1028" s="33" t="s">
        <v>2364</v>
      </c>
      <c r="C1028" s="33" t="s">
        <v>2607</v>
      </c>
      <c r="D1028" s="33"/>
      <c r="E1028" s="33"/>
      <c r="F1028" s="33"/>
      <c r="G1028" s="33"/>
      <c r="H1028" s="33"/>
      <c r="I1028" s="33"/>
      <c r="J1028" s="33"/>
      <c r="K1028" s="33"/>
    </row>
    <row r="1029" spans="1:11" ht="15.75">
      <c r="A1029" s="33" t="s">
        <v>2608</v>
      </c>
      <c r="B1029" s="33" t="s">
        <v>2364</v>
      </c>
      <c r="C1029" s="33" t="s">
        <v>556</v>
      </c>
      <c r="D1029" s="33"/>
      <c r="E1029" s="33"/>
      <c r="F1029" s="33"/>
      <c r="G1029" s="33"/>
      <c r="H1029" s="33"/>
      <c r="I1029" s="33"/>
      <c r="J1029" s="33"/>
      <c r="K1029" s="33"/>
    </row>
    <row r="1030" spans="1:11" ht="15.75">
      <c r="A1030" s="33" t="s">
        <v>2609</v>
      </c>
      <c r="B1030" s="33" t="s">
        <v>2364</v>
      </c>
      <c r="C1030" s="33" t="s">
        <v>700</v>
      </c>
      <c r="D1030" s="33"/>
      <c r="E1030" s="33"/>
      <c r="F1030" s="33"/>
      <c r="G1030" s="33"/>
      <c r="H1030" s="33"/>
      <c r="I1030" s="33"/>
      <c r="J1030" s="33"/>
      <c r="K1030" s="33"/>
    </row>
    <row r="1031" spans="1:11" ht="15.75">
      <c r="A1031" s="33" t="s">
        <v>2610</v>
      </c>
      <c r="B1031" s="33" t="s">
        <v>2364</v>
      </c>
      <c r="C1031" s="33" t="s">
        <v>304</v>
      </c>
      <c r="D1031" s="33"/>
      <c r="E1031" s="33"/>
      <c r="F1031" s="33"/>
      <c r="G1031" s="33"/>
      <c r="H1031" s="33"/>
      <c r="I1031" s="33"/>
      <c r="J1031" s="33"/>
      <c r="K1031" s="33"/>
    </row>
    <row r="1032" spans="1:11" ht="15.75">
      <c r="A1032" s="33" t="s">
        <v>2611</v>
      </c>
      <c r="B1032" s="33" t="s">
        <v>2364</v>
      </c>
      <c r="C1032" s="33" t="s">
        <v>891</v>
      </c>
      <c r="D1032" s="33"/>
      <c r="E1032" s="33"/>
      <c r="F1032" s="33"/>
      <c r="G1032" s="33"/>
      <c r="H1032" s="33"/>
      <c r="I1032" s="33"/>
      <c r="J1032" s="33"/>
      <c r="K1032" s="33"/>
    </row>
    <row r="1033" spans="1:11" ht="15.75">
      <c r="A1033" s="33" t="s">
        <v>2612</v>
      </c>
      <c r="B1033" s="33" t="s">
        <v>2364</v>
      </c>
      <c r="C1033" s="33" t="s">
        <v>841</v>
      </c>
      <c r="D1033" s="33"/>
      <c r="E1033" s="33"/>
      <c r="F1033" s="33"/>
      <c r="G1033" s="33"/>
      <c r="H1033" s="33"/>
      <c r="I1033" s="33"/>
      <c r="J1033" s="33"/>
      <c r="K1033" s="33"/>
    </row>
    <row r="1034" spans="1:11" ht="15.75">
      <c r="A1034" s="33" t="s">
        <v>2613</v>
      </c>
      <c r="B1034" s="33" t="s">
        <v>2364</v>
      </c>
      <c r="C1034" s="33" t="s">
        <v>370</v>
      </c>
      <c r="D1034" s="33"/>
      <c r="E1034" s="33"/>
      <c r="F1034" s="33"/>
      <c r="G1034" s="33"/>
      <c r="H1034" s="33"/>
      <c r="I1034" s="33"/>
      <c r="J1034" s="33"/>
      <c r="K1034" s="33"/>
    </row>
    <row r="1035" spans="1:11" ht="15.75">
      <c r="A1035" s="33" t="s">
        <v>2614</v>
      </c>
      <c r="B1035" s="33" t="s">
        <v>2364</v>
      </c>
      <c r="C1035" s="33" t="s">
        <v>412</v>
      </c>
      <c r="D1035" s="33"/>
      <c r="E1035" s="33"/>
      <c r="F1035" s="33"/>
      <c r="G1035" s="33"/>
      <c r="H1035" s="33"/>
      <c r="I1035" s="33"/>
      <c r="J1035" s="33"/>
      <c r="K1035" s="33"/>
    </row>
    <row r="1036" spans="1:11" ht="15.75">
      <c r="A1036" s="33" t="s">
        <v>2615</v>
      </c>
      <c r="B1036" s="33" t="s">
        <v>2364</v>
      </c>
      <c r="C1036" s="33" t="s">
        <v>580</v>
      </c>
      <c r="D1036" s="33"/>
      <c r="E1036" s="33"/>
      <c r="F1036" s="33"/>
      <c r="G1036" s="33"/>
      <c r="H1036" s="33"/>
      <c r="I1036" s="33"/>
      <c r="J1036" s="33"/>
      <c r="K1036" s="33"/>
    </row>
    <row r="1037" spans="1:11" ht="15.75">
      <c r="A1037" s="33" t="s">
        <v>2616</v>
      </c>
      <c r="B1037" s="33" t="s">
        <v>2364</v>
      </c>
      <c r="C1037" s="33" t="s">
        <v>499</v>
      </c>
      <c r="D1037" s="33"/>
      <c r="E1037" s="33"/>
      <c r="F1037" s="33"/>
      <c r="G1037" s="33"/>
      <c r="H1037" s="33"/>
      <c r="I1037" s="33"/>
      <c r="J1037" s="33"/>
      <c r="K1037" s="33"/>
    </row>
    <row r="1038" spans="1:11" ht="15.75">
      <c r="A1038" s="33" t="s">
        <v>2617</v>
      </c>
      <c r="B1038" s="33" t="s">
        <v>2364</v>
      </c>
      <c r="C1038" s="33" t="s">
        <v>2618</v>
      </c>
      <c r="D1038" s="33"/>
      <c r="E1038" s="33"/>
      <c r="F1038" s="33"/>
      <c r="G1038" s="33"/>
      <c r="H1038" s="33"/>
      <c r="I1038" s="33"/>
      <c r="J1038" s="33"/>
      <c r="K1038" s="33"/>
    </row>
    <row r="1039" spans="1:11" ht="15.75">
      <c r="A1039" s="33" t="s">
        <v>8</v>
      </c>
      <c r="B1039" s="33" t="s">
        <v>2619</v>
      </c>
      <c r="C1039" s="33" t="s">
        <v>7</v>
      </c>
      <c r="D1039" s="33"/>
      <c r="E1039" s="33"/>
      <c r="F1039" s="33"/>
      <c r="G1039" s="33"/>
      <c r="H1039" s="33"/>
      <c r="I1039" s="33"/>
      <c r="J1039" s="33"/>
      <c r="K1039" s="33"/>
    </row>
    <row r="1040" spans="1:11" ht="15.75">
      <c r="A1040" s="33" t="s">
        <v>12</v>
      </c>
      <c r="B1040" s="33" t="s">
        <v>2619</v>
      </c>
      <c r="C1040" s="33" t="s">
        <v>11</v>
      </c>
      <c r="D1040" s="33"/>
      <c r="E1040" s="33"/>
      <c r="F1040" s="33"/>
      <c r="G1040" s="33"/>
      <c r="H1040" s="33"/>
      <c r="I1040" s="33"/>
      <c r="J1040" s="33"/>
      <c r="K1040" s="33"/>
    </row>
    <row r="1041" spans="1:11" ht="15.75">
      <c r="A1041" s="33" t="s">
        <v>19</v>
      </c>
      <c r="B1041" s="33" t="s">
        <v>2619</v>
      </c>
      <c r="C1041" s="33" t="s">
        <v>18</v>
      </c>
      <c r="D1041" s="33"/>
      <c r="E1041" s="33"/>
      <c r="F1041" s="33"/>
      <c r="G1041" s="33"/>
      <c r="H1041" s="33"/>
      <c r="I1041" s="33"/>
      <c r="J1041" s="33"/>
      <c r="K1041" s="33"/>
    </row>
    <row r="1042" spans="1:11" ht="15.75">
      <c r="A1042" s="33" t="s">
        <v>23</v>
      </c>
      <c r="B1042" s="33" t="s">
        <v>2619</v>
      </c>
      <c r="C1042" s="33" t="s">
        <v>22</v>
      </c>
      <c r="D1042" s="33"/>
      <c r="E1042" s="33"/>
      <c r="F1042" s="33"/>
      <c r="G1042" s="33"/>
      <c r="H1042" s="33"/>
      <c r="I1042" s="33"/>
      <c r="J1042" s="33"/>
      <c r="K1042" s="33"/>
    </row>
    <row r="1043" spans="1:11" ht="15.75">
      <c r="A1043" s="33" t="s">
        <v>36</v>
      </c>
      <c r="B1043" s="33" t="s">
        <v>2619</v>
      </c>
      <c r="C1043" s="33" t="s">
        <v>35</v>
      </c>
      <c r="D1043" s="33"/>
      <c r="E1043" s="33"/>
      <c r="F1043" s="33"/>
      <c r="G1043" s="33"/>
      <c r="H1043" s="33"/>
      <c r="I1043" s="33"/>
      <c r="J1043" s="33"/>
      <c r="K1043" s="33"/>
    </row>
    <row r="1044" spans="1:11" ht="15.75">
      <c r="A1044" s="33" t="s">
        <v>55</v>
      </c>
      <c r="B1044" s="33" t="s">
        <v>2619</v>
      </c>
      <c r="C1044" s="33" t="s">
        <v>54</v>
      </c>
      <c r="D1044" s="33"/>
      <c r="E1044" s="33"/>
      <c r="F1044" s="33"/>
      <c r="G1044" s="33"/>
      <c r="H1044" s="33"/>
      <c r="I1044" s="33"/>
      <c r="J1044" s="33"/>
      <c r="K1044" s="33"/>
    </row>
    <row r="1045" spans="1:11" ht="15.75">
      <c r="A1045" s="33" t="s">
        <v>59</v>
      </c>
      <c r="B1045" s="33" t="s">
        <v>2619</v>
      </c>
      <c r="C1045" s="33" t="s">
        <v>58</v>
      </c>
      <c r="D1045" s="33"/>
      <c r="E1045" s="33"/>
      <c r="F1045" s="33"/>
      <c r="G1045" s="33"/>
      <c r="H1045" s="33"/>
      <c r="I1045" s="33"/>
      <c r="J1045" s="33"/>
      <c r="K1045" s="33"/>
    </row>
    <row r="1046" spans="1:11" ht="15.75">
      <c r="A1046" s="33" t="s">
        <v>64</v>
      </c>
      <c r="B1046" s="33" t="s">
        <v>2619</v>
      </c>
      <c r="C1046" s="33" t="s">
        <v>63</v>
      </c>
      <c r="D1046" s="33"/>
      <c r="E1046" s="33"/>
      <c r="F1046" s="33"/>
      <c r="G1046" s="33"/>
      <c r="H1046" s="33"/>
      <c r="I1046" s="33"/>
      <c r="J1046" s="33"/>
      <c r="K1046" s="33"/>
    </row>
    <row r="1047" spans="1:11" ht="15.75">
      <c r="A1047" s="33" t="s">
        <v>68</v>
      </c>
      <c r="B1047" s="33" t="s">
        <v>2619</v>
      </c>
      <c r="C1047" s="33" t="s">
        <v>67</v>
      </c>
      <c r="D1047" s="33"/>
      <c r="E1047" s="33"/>
      <c r="F1047" s="33"/>
      <c r="G1047" s="33"/>
      <c r="H1047" s="33"/>
      <c r="I1047" s="33"/>
      <c r="J1047" s="33"/>
      <c r="K1047" s="33"/>
    </row>
    <row r="1048" spans="1:11" ht="15.75">
      <c r="A1048" s="33" t="s">
        <v>73</v>
      </c>
      <c r="B1048" s="33" t="s">
        <v>2619</v>
      </c>
      <c r="C1048" s="33" t="s">
        <v>72</v>
      </c>
      <c r="D1048" s="33"/>
      <c r="E1048" s="33"/>
      <c r="F1048" s="33"/>
      <c r="G1048" s="33"/>
      <c r="H1048" s="33"/>
      <c r="I1048" s="33"/>
      <c r="J1048" s="33"/>
      <c r="K1048" s="33"/>
    </row>
    <row r="1049" spans="1:11" ht="15.75">
      <c r="A1049" s="33" t="s">
        <v>78</v>
      </c>
      <c r="B1049" s="33" t="s">
        <v>2619</v>
      </c>
      <c r="C1049" s="33" t="s">
        <v>77</v>
      </c>
      <c r="D1049" s="33"/>
      <c r="E1049" s="33"/>
      <c r="F1049" s="33"/>
      <c r="G1049" s="33"/>
      <c r="H1049" s="33"/>
      <c r="I1049" s="33"/>
      <c r="J1049" s="33"/>
      <c r="K1049" s="33"/>
    </row>
    <row r="1050" spans="1:11" ht="15.75">
      <c r="A1050" s="33" t="s">
        <v>83</v>
      </c>
      <c r="B1050" s="33" t="s">
        <v>2619</v>
      </c>
      <c r="C1050" s="33" t="s">
        <v>82</v>
      </c>
      <c r="D1050" s="33"/>
      <c r="E1050" s="33"/>
      <c r="F1050" s="33"/>
      <c r="G1050" s="33"/>
      <c r="H1050" s="33"/>
      <c r="I1050" s="33"/>
      <c r="J1050" s="33"/>
      <c r="K1050" s="33"/>
    </row>
    <row r="1051" spans="1:11" ht="15.75">
      <c r="A1051" s="33" t="s">
        <v>88</v>
      </c>
      <c r="B1051" s="33" t="s">
        <v>2619</v>
      </c>
      <c r="C1051" s="33" t="s">
        <v>87</v>
      </c>
      <c r="D1051" s="33"/>
      <c r="E1051" s="33"/>
      <c r="F1051" s="33"/>
      <c r="G1051" s="33"/>
      <c r="H1051" s="33"/>
      <c r="I1051" s="33"/>
      <c r="J1051" s="33"/>
      <c r="K1051" s="33"/>
    </row>
    <row r="1052" spans="1:11" ht="15.75">
      <c r="A1052" s="33" t="s">
        <v>93</v>
      </c>
      <c r="B1052" s="33" t="s">
        <v>2619</v>
      </c>
      <c r="C1052" s="33" t="s">
        <v>92</v>
      </c>
      <c r="D1052" s="33"/>
      <c r="E1052" s="33"/>
      <c r="F1052" s="33"/>
      <c r="G1052" s="33"/>
      <c r="H1052" s="33"/>
      <c r="I1052" s="33"/>
      <c r="J1052" s="33"/>
      <c r="K1052" s="33"/>
    </row>
    <row r="1053" spans="1:11" ht="15.75">
      <c r="A1053" s="33" t="s">
        <v>98</v>
      </c>
      <c r="B1053" s="33" t="s">
        <v>2619</v>
      </c>
      <c r="C1053" s="33" t="s">
        <v>97</v>
      </c>
      <c r="D1053" s="33"/>
      <c r="E1053" s="33"/>
      <c r="F1053" s="33"/>
      <c r="G1053" s="33"/>
      <c r="H1053" s="33"/>
      <c r="I1053" s="33"/>
      <c r="J1053" s="33"/>
      <c r="K1053" s="33"/>
    </row>
    <row r="1054" spans="1:11" ht="15.75">
      <c r="A1054" s="33" t="s">
        <v>102</v>
      </c>
      <c r="B1054" s="33" t="s">
        <v>2619</v>
      </c>
      <c r="C1054" s="33" t="s">
        <v>101</v>
      </c>
      <c r="D1054" s="33"/>
      <c r="E1054" s="33"/>
      <c r="F1054" s="33"/>
      <c r="G1054" s="33"/>
      <c r="H1054" s="33"/>
      <c r="I1054" s="33"/>
      <c r="J1054" s="33"/>
      <c r="K1054" s="33"/>
    </row>
    <row r="1055" spans="1:11" ht="15.75">
      <c r="A1055" s="33" t="s">
        <v>106</v>
      </c>
      <c r="B1055" s="33" t="s">
        <v>2619</v>
      </c>
      <c r="C1055" s="33" t="s">
        <v>105</v>
      </c>
      <c r="D1055" s="33"/>
      <c r="E1055" s="33"/>
      <c r="F1055" s="33"/>
      <c r="G1055" s="33"/>
      <c r="H1055" s="33"/>
      <c r="I1055" s="33"/>
      <c r="J1055" s="33"/>
      <c r="K1055" s="33"/>
    </row>
    <row r="1056" spans="1:11" ht="15.75">
      <c r="A1056" s="33" t="s">
        <v>111</v>
      </c>
      <c r="B1056" s="33" t="s">
        <v>2619</v>
      </c>
      <c r="C1056" s="33" t="s">
        <v>110</v>
      </c>
      <c r="D1056" s="33"/>
      <c r="E1056" s="33"/>
      <c r="F1056" s="33"/>
      <c r="G1056" s="33"/>
      <c r="H1056" s="33"/>
      <c r="I1056" s="33"/>
      <c r="J1056" s="33"/>
      <c r="K1056" s="33"/>
    </row>
    <row r="1057" spans="1:11" ht="15.75">
      <c r="A1057" s="33" t="s">
        <v>2620</v>
      </c>
      <c r="B1057" s="33" t="s">
        <v>2619</v>
      </c>
      <c r="C1057" s="33" t="s">
        <v>889</v>
      </c>
      <c r="D1057" s="33"/>
      <c r="E1057" s="33"/>
      <c r="F1057" s="33"/>
      <c r="G1057" s="33"/>
      <c r="H1057" s="33"/>
      <c r="I1057" s="33"/>
      <c r="J1057" s="33"/>
      <c r="K1057" s="33"/>
    </row>
    <row r="1058" spans="1:11" ht="15.75">
      <c r="A1058" s="33" t="s">
        <v>115</v>
      </c>
      <c r="B1058" s="33" t="s">
        <v>2619</v>
      </c>
      <c r="C1058" s="33" t="s">
        <v>114</v>
      </c>
      <c r="D1058" s="33"/>
      <c r="E1058" s="33"/>
      <c r="F1058" s="33"/>
      <c r="G1058" s="33"/>
      <c r="H1058" s="33"/>
      <c r="I1058" s="33"/>
      <c r="J1058" s="33"/>
      <c r="K1058" s="33"/>
    </row>
    <row r="1059" spans="1:11" ht="15.75">
      <c r="A1059" s="33" t="s">
        <v>2621</v>
      </c>
      <c r="B1059" s="33" t="s">
        <v>2619</v>
      </c>
      <c r="C1059" s="33" t="s">
        <v>890</v>
      </c>
      <c r="D1059" s="33"/>
      <c r="E1059" s="33"/>
      <c r="F1059" s="33"/>
      <c r="G1059" s="33"/>
      <c r="H1059" s="33"/>
      <c r="I1059" s="33"/>
      <c r="J1059" s="33"/>
      <c r="K1059" s="33"/>
    </row>
    <row r="1060" spans="1:11" ht="15.75">
      <c r="A1060" s="33" t="s">
        <v>119</v>
      </c>
      <c r="B1060" s="33" t="s">
        <v>2619</v>
      </c>
      <c r="C1060" s="33" t="s">
        <v>118</v>
      </c>
      <c r="D1060" s="33"/>
      <c r="E1060" s="33"/>
      <c r="F1060" s="33"/>
      <c r="G1060" s="33"/>
      <c r="H1060" s="33"/>
      <c r="I1060" s="33"/>
      <c r="J1060" s="33"/>
      <c r="K1060" s="33"/>
    </row>
    <row r="1061" spans="1:11" ht="15.75">
      <c r="A1061" s="33" t="s">
        <v>123</v>
      </c>
      <c r="B1061" s="33" t="s">
        <v>2619</v>
      </c>
      <c r="C1061" s="33" t="s">
        <v>122</v>
      </c>
      <c r="D1061" s="33"/>
      <c r="E1061" s="33"/>
      <c r="F1061" s="33"/>
      <c r="G1061" s="33"/>
      <c r="H1061" s="33"/>
      <c r="I1061" s="33"/>
      <c r="J1061" s="33"/>
      <c r="K1061" s="33"/>
    </row>
    <row r="1062" spans="1:11" ht="15.75">
      <c r="A1062" s="33" t="s">
        <v>127</v>
      </c>
      <c r="B1062" s="33" t="s">
        <v>2619</v>
      </c>
      <c r="C1062" s="33" t="s">
        <v>126</v>
      </c>
      <c r="D1062" s="33"/>
      <c r="E1062" s="33"/>
      <c r="F1062" s="33"/>
      <c r="G1062" s="33"/>
      <c r="H1062" s="33"/>
      <c r="I1062" s="33"/>
      <c r="J1062" s="33"/>
      <c r="K1062" s="33"/>
    </row>
    <row r="1063" spans="1:11" ht="15.75">
      <c r="A1063" s="33" t="s">
        <v>131</v>
      </c>
      <c r="B1063" s="33" t="s">
        <v>2619</v>
      </c>
      <c r="C1063" s="33" t="s">
        <v>130</v>
      </c>
      <c r="D1063" s="33"/>
      <c r="E1063" s="33"/>
      <c r="F1063" s="33"/>
      <c r="G1063" s="33"/>
      <c r="H1063" s="33"/>
      <c r="I1063" s="33"/>
      <c r="J1063" s="33"/>
      <c r="K1063" s="33"/>
    </row>
    <row r="1064" spans="1:11" ht="15.75">
      <c r="A1064" s="33" t="s">
        <v>135</v>
      </c>
      <c r="B1064" s="33" t="s">
        <v>2619</v>
      </c>
      <c r="C1064" s="33" t="s">
        <v>134</v>
      </c>
      <c r="D1064" s="33"/>
      <c r="E1064" s="33"/>
      <c r="F1064" s="33"/>
      <c r="G1064" s="33"/>
      <c r="H1064" s="33"/>
      <c r="I1064" s="33"/>
      <c r="J1064" s="33"/>
      <c r="K1064" s="33"/>
    </row>
    <row r="1065" spans="1:11" ht="15.75">
      <c r="A1065" s="33" t="s">
        <v>139</v>
      </c>
      <c r="B1065" s="33" t="s">
        <v>2619</v>
      </c>
      <c r="C1065" s="33" t="s">
        <v>138</v>
      </c>
      <c r="D1065" s="33"/>
      <c r="E1065" s="33"/>
      <c r="F1065" s="33"/>
      <c r="G1065" s="33"/>
      <c r="H1065" s="33"/>
      <c r="I1065" s="33"/>
      <c r="J1065" s="33"/>
      <c r="K1065" s="33"/>
    </row>
    <row r="1066" spans="1:11" ht="15.75">
      <c r="A1066" s="33" t="s">
        <v>143</v>
      </c>
      <c r="B1066" s="33" t="s">
        <v>2619</v>
      </c>
      <c r="C1066" s="33" t="s">
        <v>142</v>
      </c>
      <c r="D1066" s="33"/>
      <c r="E1066" s="33"/>
      <c r="F1066" s="33"/>
      <c r="G1066" s="33"/>
      <c r="H1066" s="33"/>
      <c r="I1066" s="33"/>
      <c r="J1066" s="33"/>
      <c r="K1066" s="33"/>
    </row>
    <row r="1067" spans="1:11" ht="15.75">
      <c r="A1067" s="33" t="s">
        <v>147</v>
      </c>
      <c r="B1067" s="33" t="s">
        <v>2619</v>
      </c>
      <c r="C1067" s="33" t="s">
        <v>146</v>
      </c>
      <c r="D1067" s="33"/>
      <c r="E1067" s="33"/>
      <c r="F1067" s="33"/>
      <c r="G1067" s="33"/>
      <c r="H1067" s="33"/>
      <c r="I1067" s="33"/>
      <c r="J1067" s="33"/>
      <c r="K1067" s="33"/>
    </row>
    <row r="1068" spans="1:11" ht="15.75">
      <c r="A1068" s="33" t="s">
        <v>152</v>
      </c>
      <c r="B1068" s="33" t="s">
        <v>2619</v>
      </c>
      <c r="C1068" s="33" t="s">
        <v>151</v>
      </c>
      <c r="D1068" s="33"/>
      <c r="E1068" s="33"/>
      <c r="F1068" s="33"/>
      <c r="G1068" s="33"/>
      <c r="H1068" s="33"/>
      <c r="I1068" s="33"/>
      <c r="J1068" s="33"/>
      <c r="K1068" s="33"/>
    </row>
    <row r="1069" spans="1:11" ht="15.75">
      <c r="A1069" s="33" t="s">
        <v>156</v>
      </c>
      <c r="B1069" s="33" t="s">
        <v>2619</v>
      </c>
      <c r="C1069" s="33" t="s">
        <v>155</v>
      </c>
      <c r="D1069" s="33"/>
      <c r="E1069" s="33"/>
      <c r="F1069" s="33"/>
      <c r="G1069" s="33"/>
      <c r="H1069" s="33"/>
      <c r="I1069" s="33"/>
      <c r="J1069" s="33"/>
      <c r="K1069" s="33"/>
    </row>
    <row r="1070" spans="1:11" ht="15.75">
      <c r="A1070" s="33" t="s">
        <v>160</v>
      </c>
      <c r="B1070" s="33" t="s">
        <v>2619</v>
      </c>
      <c r="C1070" s="33" t="s">
        <v>159</v>
      </c>
      <c r="D1070" s="33"/>
      <c r="E1070" s="33"/>
      <c r="F1070" s="33"/>
      <c r="G1070" s="33"/>
      <c r="H1070" s="33"/>
      <c r="I1070" s="33"/>
      <c r="J1070" s="33"/>
      <c r="K1070" s="33"/>
    </row>
    <row r="1071" spans="1:11" ht="15.75">
      <c r="A1071" s="33" t="s">
        <v>164</v>
      </c>
      <c r="B1071" s="33" t="s">
        <v>2619</v>
      </c>
      <c r="C1071" s="33" t="s">
        <v>163</v>
      </c>
      <c r="D1071" s="33"/>
      <c r="E1071" s="33"/>
      <c r="F1071" s="33"/>
      <c r="G1071" s="33"/>
      <c r="H1071" s="33"/>
      <c r="I1071" s="33"/>
      <c r="J1071" s="33"/>
      <c r="K1071" s="33"/>
    </row>
    <row r="1072" spans="1:11" ht="15.75">
      <c r="A1072" s="33" t="s">
        <v>168</v>
      </c>
      <c r="B1072" s="33" t="s">
        <v>2619</v>
      </c>
      <c r="C1072" s="33" t="s">
        <v>167</v>
      </c>
      <c r="D1072" s="33"/>
      <c r="E1072" s="33"/>
      <c r="F1072" s="33"/>
      <c r="G1072" s="33"/>
      <c r="H1072" s="33"/>
      <c r="I1072" s="33"/>
      <c r="J1072" s="33"/>
      <c r="K1072" s="33"/>
    </row>
    <row r="1073" spans="1:11" ht="15.75">
      <c r="A1073" s="33" t="s">
        <v>172</v>
      </c>
      <c r="B1073" s="33" t="s">
        <v>2619</v>
      </c>
      <c r="C1073" s="33" t="s">
        <v>171</v>
      </c>
      <c r="D1073" s="33"/>
      <c r="E1073" s="33"/>
      <c r="F1073" s="33"/>
      <c r="G1073" s="33"/>
      <c r="H1073" s="33"/>
      <c r="I1073" s="33"/>
      <c r="J1073" s="33"/>
      <c r="K1073" s="33"/>
    </row>
    <row r="1074" spans="1:11" ht="15.75">
      <c r="A1074" s="33" t="s">
        <v>176</v>
      </c>
      <c r="B1074" s="33" t="s">
        <v>2619</v>
      </c>
      <c r="C1074" s="33" t="s">
        <v>175</v>
      </c>
      <c r="D1074" s="33"/>
      <c r="E1074" s="33"/>
      <c r="F1074" s="33"/>
      <c r="G1074" s="33"/>
      <c r="H1074" s="33"/>
      <c r="I1074" s="33"/>
      <c r="J1074" s="33"/>
      <c r="K1074" s="33"/>
    </row>
    <row r="1075" spans="1:11" ht="15.75">
      <c r="A1075" s="33" t="s">
        <v>180</v>
      </c>
      <c r="B1075" s="33" t="s">
        <v>2619</v>
      </c>
      <c r="C1075" s="33" t="s">
        <v>179</v>
      </c>
      <c r="D1075" s="33"/>
      <c r="E1075" s="33"/>
      <c r="F1075" s="33"/>
      <c r="G1075" s="33"/>
      <c r="H1075" s="33"/>
      <c r="I1075" s="33"/>
      <c r="J1075" s="33"/>
      <c r="K1075" s="33"/>
    </row>
    <row r="1076" spans="1:11" ht="15.75">
      <c r="A1076" s="33" t="s">
        <v>184</v>
      </c>
      <c r="B1076" s="33" t="s">
        <v>2619</v>
      </c>
      <c r="C1076" s="33" t="s">
        <v>183</v>
      </c>
      <c r="D1076" s="33"/>
      <c r="E1076" s="33"/>
      <c r="F1076" s="33"/>
      <c r="G1076" s="33"/>
      <c r="H1076" s="33"/>
      <c r="I1076" s="33"/>
      <c r="J1076" s="33"/>
      <c r="K1076" s="33"/>
    </row>
    <row r="1077" spans="1:11" ht="15.75">
      <c r="A1077" s="33" t="s">
        <v>188</v>
      </c>
      <c r="B1077" s="33" t="s">
        <v>2619</v>
      </c>
      <c r="C1077" s="33" t="s">
        <v>187</v>
      </c>
      <c r="D1077" s="33"/>
      <c r="E1077" s="33"/>
      <c r="F1077" s="33"/>
      <c r="G1077" s="33"/>
      <c r="H1077" s="33"/>
      <c r="I1077" s="33"/>
      <c r="J1077" s="33"/>
      <c r="K1077" s="33"/>
    </row>
    <row r="1078" spans="1:11" ht="15.75">
      <c r="A1078" s="33" t="s">
        <v>192</v>
      </c>
      <c r="B1078" s="33" t="s">
        <v>2619</v>
      </c>
      <c r="C1078" s="33" t="s">
        <v>191</v>
      </c>
      <c r="D1078" s="33"/>
      <c r="E1078" s="33"/>
      <c r="F1078" s="33"/>
      <c r="G1078" s="33"/>
      <c r="H1078" s="33"/>
      <c r="I1078" s="33"/>
      <c r="J1078" s="33"/>
      <c r="K1078" s="33"/>
    </row>
    <row r="1079" spans="1:11" ht="15.75">
      <c r="A1079" s="33" t="s">
        <v>196</v>
      </c>
      <c r="B1079" s="33" t="s">
        <v>2619</v>
      </c>
      <c r="C1079" s="33" t="s">
        <v>195</v>
      </c>
      <c r="D1079" s="33"/>
      <c r="E1079" s="33"/>
      <c r="F1079" s="33"/>
      <c r="G1079" s="33"/>
      <c r="H1079" s="33"/>
      <c r="I1079" s="33"/>
      <c r="J1079" s="33"/>
      <c r="K1079" s="33"/>
    </row>
    <row r="1080" spans="1:11" ht="15.75">
      <c r="A1080" s="33" t="s">
        <v>200</v>
      </c>
      <c r="B1080" s="33" t="s">
        <v>2619</v>
      </c>
      <c r="C1080" s="33" t="s">
        <v>199</v>
      </c>
      <c r="D1080" s="33"/>
      <c r="E1080" s="33"/>
      <c r="F1080" s="33"/>
      <c r="G1080" s="33"/>
      <c r="H1080" s="33"/>
      <c r="I1080" s="33"/>
      <c r="J1080" s="33"/>
      <c r="K1080" s="33"/>
    </row>
    <row r="1081" spans="1:11" ht="15.75">
      <c r="A1081" s="33" t="s">
        <v>204</v>
      </c>
      <c r="B1081" s="33" t="s">
        <v>2619</v>
      </c>
      <c r="C1081" s="33" t="s">
        <v>203</v>
      </c>
      <c r="D1081" s="33"/>
      <c r="E1081" s="33"/>
      <c r="F1081" s="33"/>
      <c r="G1081" s="33"/>
      <c r="H1081" s="33"/>
      <c r="I1081" s="33"/>
      <c r="J1081" s="33"/>
      <c r="K1081" s="33"/>
    </row>
    <row r="1082" spans="1:11" ht="15.75">
      <c r="A1082" s="33" t="s">
        <v>208</v>
      </c>
      <c r="B1082" s="33" t="s">
        <v>2619</v>
      </c>
      <c r="C1082" s="33" t="s">
        <v>207</v>
      </c>
      <c r="D1082" s="33"/>
      <c r="E1082" s="33"/>
      <c r="F1082" s="33"/>
      <c r="G1082" s="33"/>
      <c r="H1082" s="33"/>
      <c r="I1082" s="33"/>
      <c r="J1082" s="33"/>
      <c r="K1082" s="33"/>
    </row>
    <row r="1083" spans="1:11" ht="15.75">
      <c r="A1083" s="33" t="s">
        <v>212</v>
      </c>
      <c r="B1083" s="33" t="s">
        <v>2619</v>
      </c>
      <c r="C1083" s="33" t="s">
        <v>211</v>
      </c>
      <c r="D1083" s="33"/>
      <c r="E1083" s="33"/>
      <c r="F1083" s="33"/>
      <c r="G1083" s="33"/>
      <c r="H1083" s="33"/>
      <c r="I1083" s="33"/>
      <c r="J1083" s="33"/>
      <c r="K1083" s="33"/>
    </row>
    <row r="1084" spans="1:11" ht="15.75">
      <c r="A1084" s="33" t="s">
        <v>216</v>
      </c>
      <c r="B1084" s="33" t="s">
        <v>2619</v>
      </c>
      <c r="C1084" s="33" t="s">
        <v>215</v>
      </c>
      <c r="D1084" s="33"/>
      <c r="E1084" s="33"/>
      <c r="F1084" s="33"/>
      <c r="G1084" s="33"/>
      <c r="H1084" s="33"/>
      <c r="I1084" s="33"/>
      <c r="J1084" s="33"/>
      <c r="K1084" s="33"/>
    </row>
    <row r="1085" spans="1:11" ht="15.75">
      <c r="A1085" s="33" t="s">
        <v>220</v>
      </c>
      <c r="B1085" s="33" t="s">
        <v>2619</v>
      </c>
      <c r="C1085" s="33" t="s">
        <v>219</v>
      </c>
      <c r="D1085" s="33"/>
      <c r="E1085" s="33"/>
      <c r="F1085" s="33"/>
      <c r="G1085" s="33"/>
      <c r="H1085" s="33"/>
      <c r="I1085" s="33"/>
      <c r="J1085" s="33"/>
      <c r="K1085" s="33"/>
    </row>
    <row r="1086" spans="1:11" ht="15.75">
      <c r="A1086" s="33" t="s">
        <v>224</v>
      </c>
      <c r="B1086" s="33" t="s">
        <v>2619</v>
      </c>
      <c r="C1086" s="33" t="s">
        <v>223</v>
      </c>
      <c r="D1086" s="33"/>
      <c r="E1086" s="33"/>
      <c r="F1086" s="33"/>
      <c r="G1086" s="33"/>
      <c r="H1086" s="33"/>
      <c r="I1086" s="33"/>
      <c r="J1086" s="33"/>
      <c r="K1086" s="33"/>
    </row>
    <row r="1087" spans="1:11" ht="15.75">
      <c r="A1087" s="33" t="s">
        <v>228</v>
      </c>
      <c r="B1087" s="33" t="s">
        <v>2619</v>
      </c>
      <c r="C1087" s="33" t="s">
        <v>227</v>
      </c>
      <c r="D1087" s="33"/>
      <c r="E1087" s="33"/>
      <c r="F1087" s="33"/>
      <c r="G1087" s="33"/>
      <c r="H1087" s="33"/>
      <c r="I1087" s="33"/>
      <c r="J1087" s="33"/>
      <c r="K1087" s="33"/>
    </row>
    <row r="1088" spans="1:11" ht="15.75">
      <c r="A1088" s="33" t="s">
        <v>232</v>
      </c>
      <c r="B1088" s="33" t="s">
        <v>2619</v>
      </c>
      <c r="C1088" s="33" t="s">
        <v>231</v>
      </c>
      <c r="D1088" s="33"/>
      <c r="E1088" s="33"/>
      <c r="F1088" s="33"/>
      <c r="G1088" s="33"/>
      <c r="H1088" s="33"/>
      <c r="I1088" s="33"/>
      <c r="J1088" s="33"/>
      <c r="K1088" s="33"/>
    </row>
    <row r="1089" spans="1:11" ht="15.75">
      <c r="A1089" s="33" t="s">
        <v>236</v>
      </c>
      <c r="B1089" s="33" t="s">
        <v>2619</v>
      </c>
      <c r="C1089" s="33" t="s">
        <v>235</v>
      </c>
      <c r="D1089" s="33"/>
      <c r="E1089" s="33"/>
      <c r="F1089" s="33"/>
      <c r="G1089" s="33"/>
      <c r="H1089" s="33"/>
      <c r="I1089" s="33"/>
      <c r="J1089" s="33"/>
      <c r="K1089" s="33"/>
    </row>
    <row r="1090" spans="1:11" ht="15.75">
      <c r="A1090" s="33" t="s">
        <v>240</v>
      </c>
      <c r="B1090" s="33" t="s">
        <v>2619</v>
      </c>
      <c r="C1090" s="33" t="s">
        <v>239</v>
      </c>
      <c r="D1090" s="33"/>
      <c r="E1090" s="33"/>
      <c r="F1090" s="33"/>
      <c r="G1090" s="33"/>
      <c r="H1090" s="33"/>
      <c r="I1090" s="33"/>
      <c r="J1090" s="33"/>
      <c r="K1090" s="33"/>
    </row>
    <row r="1091" spans="1:11" ht="15.75">
      <c r="A1091" s="33" t="s">
        <v>244</v>
      </c>
      <c r="B1091" s="33" t="s">
        <v>2619</v>
      </c>
      <c r="C1091" s="33" t="s">
        <v>243</v>
      </c>
      <c r="D1091" s="33"/>
      <c r="E1091" s="33"/>
      <c r="F1091" s="33"/>
      <c r="G1091" s="33"/>
      <c r="H1091" s="33"/>
      <c r="I1091" s="33"/>
      <c r="J1091" s="33"/>
      <c r="K1091" s="33"/>
    </row>
    <row r="1092" spans="1:11" ht="15.75">
      <c r="A1092" s="33" t="s">
        <v>248</v>
      </c>
      <c r="B1092" s="33" t="s">
        <v>2619</v>
      </c>
      <c r="C1092" s="33" t="s">
        <v>247</v>
      </c>
      <c r="D1092" s="33"/>
      <c r="E1092" s="33"/>
      <c r="F1092" s="33"/>
      <c r="G1092" s="33"/>
      <c r="H1092" s="33"/>
      <c r="I1092" s="33"/>
      <c r="J1092" s="33"/>
      <c r="K1092" s="33"/>
    </row>
    <row r="1093" spans="1:11" ht="15.75">
      <c r="A1093" s="33" t="s">
        <v>252</v>
      </c>
      <c r="B1093" s="33" t="s">
        <v>2619</v>
      </c>
      <c r="C1093" s="33" t="s">
        <v>251</v>
      </c>
      <c r="D1093" s="33"/>
      <c r="E1093" s="33"/>
      <c r="F1093" s="33"/>
      <c r="G1093" s="33"/>
      <c r="H1093" s="33"/>
      <c r="I1093" s="33"/>
      <c r="J1093" s="33"/>
      <c r="K1093" s="33"/>
    </row>
    <row r="1094" spans="1:11" ht="15.75">
      <c r="A1094" s="33" t="s">
        <v>256</v>
      </c>
      <c r="B1094" s="33" t="s">
        <v>2619</v>
      </c>
      <c r="C1094" s="33" t="s">
        <v>255</v>
      </c>
      <c r="D1094" s="33"/>
      <c r="E1094" s="33"/>
      <c r="F1094" s="33"/>
      <c r="G1094" s="33"/>
      <c r="H1094" s="33"/>
      <c r="I1094" s="33"/>
      <c r="J1094" s="33"/>
      <c r="K1094" s="33"/>
    </row>
    <row r="1095" spans="1:11" ht="15.75">
      <c r="A1095" s="33" t="s">
        <v>260</v>
      </c>
      <c r="B1095" s="33" t="s">
        <v>2619</v>
      </c>
      <c r="C1095" s="33" t="s">
        <v>259</v>
      </c>
      <c r="D1095" s="33"/>
      <c r="E1095" s="33"/>
      <c r="F1095" s="33"/>
      <c r="G1095" s="33"/>
      <c r="H1095" s="33"/>
      <c r="I1095" s="33"/>
      <c r="J1095" s="33"/>
      <c r="K1095" s="33"/>
    </row>
    <row r="1096" spans="1:11" ht="15.75">
      <c r="A1096" s="33" t="s">
        <v>264</v>
      </c>
      <c r="B1096" s="33" t="s">
        <v>2619</v>
      </c>
      <c r="C1096" s="33" t="s">
        <v>263</v>
      </c>
      <c r="D1096" s="33"/>
      <c r="E1096" s="33"/>
      <c r="F1096" s="33"/>
      <c r="G1096" s="33"/>
      <c r="H1096" s="33"/>
      <c r="I1096" s="33"/>
      <c r="J1096" s="33"/>
      <c r="K1096" s="33"/>
    </row>
    <row r="1097" spans="1:11" ht="15.75">
      <c r="A1097" s="33" t="s">
        <v>268</v>
      </c>
      <c r="B1097" s="33" t="s">
        <v>2619</v>
      </c>
      <c r="C1097" s="33" t="s">
        <v>267</v>
      </c>
      <c r="D1097" s="33"/>
      <c r="E1097" s="33"/>
      <c r="F1097" s="33"/>
      <c r="G1097" s="33"/>
      <c r="H1097" s="33"/>
      <c r="I1097" s="33"/>
      <c r="J1097" s="33"/>
      <c r="K1097" s="33"/>
    </row>
    <row r="1098" spans="1:11" ht="15.75">
      <c r="A1098" s="33" t="s">
        <v>272</v>
      </c>
      <c r="B1098" s="33" t="s">
        <v>2619</v>
      </c>
      <c r="C1098" s="33" t="s">
        <v>271</v>
      </c>
      <c r="D1098" s="33"/>
      <c r="E1098" s="33"/>
      <c r="F1098" s="33"/>
      <c r="G1098" s="33"/>
      <c r="H1098" s="33"/>
      <c r="I1098" s="33"/>
      <c r="J1098" s="33"/>
      <c r="K1098" s="33"/>
    </row>
    <row r="1099" spans="1:11" ht="15.75">
      <c r="A1099" s="33" t="s">
        <v>276</v>
      </c>
      <c r="B1099" s="33" t="s">
        <v>2619</v>
      </c>
      <c r="C1099" s="33" t="s">
        <v>275</v>
      </c>
      <c r="D1099" s="33"/>
      <c r="E1099" s="33"/>
      <c r="F1099" s="33"/>
      <c r="G1099" s="33"/>
      <c r="H1099" s="33"/>
      <c r="I1099" s="33"/>
      <c r="J1099" s="33"/>
      <c r="K1099" s="33"/>
    </row>
    <row r="1100" spans="1:11" ht="15.75">
      <c r="A1100" s="33" t="s">
        <v>280</v>
      </c>
      <c r="B1100" s="33" t="s">
        <v>2619</v>
      </c>
      <c r="C1100" s="33" t="s">
        <v>279</v>
      </c>
      <c r="D1100" s="33"/>
      <c r="E1100" s="33"/>
      <c r="F1100" s="33"/>
      <c r="G1100" s="33"/>
      <c r="H1100" s="33"/>
      <c r="I1100" s="33"/>
      <c r="J1100" s="33"/>
      <c r="K1100" s="33"/>
    </row>
    <row r="1101" spans="1:11" ht="15.75">
      <c r="A1101" s="33" t="s">
        <v>284</v>
      </c>
      <c r="B1101" s="33" t="s">
        <v>2619</v>
      </c>
      <c r="C1101" s="33" t="s">
        <v>283</v>
      </c>
      <c r="D1101" s="33"/>
      <c r="E1101" s="33"/>
      <c r="F1101" s="33"/>
      <c r="G1101" s="33"/>
      <c r="H1101" s="33"/>
      <c r="I1101" s="33"/>
      <c r="J1101" s="33"/>
      <c r="K1101" s="33"/>
    </row>
    <row r="1102" spans="1:11" ht="15.75">
      <c r="A1102" s="33" t="s">
        <v>288</v>
      </c>
      <c r="B1102" s="33" t="s">
        <v>2619</v>
      </c>
      <c r="C1102" s="33" t="s">
        <v>287</v>
      </c>
      <c r="D1102" s="33"/>
      <c r="E1102" s="33"/>
      <c r="F1102" s="33"/>
      <c r="G1102" s="33"/>
      <c r="H1102" s="33"/>
      <c r="I1102" s="33"/>
      <c r="J1102" s="33"/>
      <c r="K1102" s="33"/>
    </row>
    <row r="1103" spans="1:11" ht="15.75">
      <c r="A1103" s="33" t="s">
        <v>292</v>
      </c>
      <c r="B1103" s="33" t="s">
        <v>2619</v>
      </c>
      <c r="C1103" s="33" t="s">
        <v>291</v>
      </c>
      <c r="D1103" s="33"/>
      <c r="E1103" s="33"/>
      <c r="F1103" s="33"/>
      <c r="G1103" s="33"/>
      <c r="H1103" s="33"/>
      <c r="I1103" s="33"/>
      <c r="J1103" s="33"/>
      <c r="K1103" s="33"/>
    </row>
    <row r="1104" spans="1:11" ht="15.75">
      <c r="A1104" s="33" t="s">
        <v>296</v>
      </c>
      <c r="B1104" s="33" t="s">
        <v>2619</v>
      </c>
      <c r="C1104" s="33" t="s">
        <v>295</v>
      </c>
      <c r="D1104" s="33"/>
      <c r="E1104" s="33"/>
      <c r="F1104" s="33"/>
      <c r="G1104" s="33"/>
      <c r="H1104" s="33"/>
      <c r="I1104" s="33"/>
      <c r="J1104" s="33"/>
      <c r="K1104" s="33"/>
    </row>
    <row r="1105" spans="1:11" ht="15.75">
      <c r="A1105" s="33" t="s">
        <v>2622</v>
      </c>
      <c r="B1105" s="33" t="s">
        <v>2619</v>
      </c>
      <c r="C1105" s="33" t="s">
        <v>891</v>
      </c>
      <c r="D1105" s="33"/>
      <c r="E1105" s="33"/>
      <c r="F1105" s="33"/>
      <c r="G1105" s="33"/>
      <c r="H1105" s="33"/>
      <c r="I1105" s="33"/>
      <c r="J1105" s="33"/>
      <c r="K1105" s="33"/>
    </row>
    <row r="1106" spans="1:11" ht="15.75">
      <c r="A1106" s="33" t="s">
        <v>2623</v>
      </c>
      <c r="B1106" s="33" t="s">
        <v>2619</v>
      </c>
      <c r="C1106" s="33" t="s">
        <v>892</v>
      </c>
      <c r="D1106" s="33"/>
      <c r="E1106" s="33"/>
      <c r="F1106" s="33"/>
      <c r="G1106" s="33"/>
      <c r="H1106" s="33"/>
      <c r="I1106" s="33"/>
      <c r="J1106" s="33"/>
      <c r="K1106" s="33"/>
    </row>
    <row r="1107" spans="1:11" ht="15.75">
      <c r="A1107" s="33" t="s">
        <v>2624</v>
      </c>
      <c r="B1107" s="33" t="s">
        <v>2619</v>
      </c>
      <c r="C1107" s="33" t="s">
        <v>893</v>
      </c>
      <c r="D1107" s="33"/>
      <c r="E1107" s="33"/>
      <c r="F1107" s="33"/>
      <c r="G1107" s="33"/>
      <c r="H1107" s="33"/>
      <c r="I1107" s="33"/>
      <c r="J1107" s="33"/>
      <c r="K1107" s="33"/>
    </row>
    <row r="1108" spans="1:11" ht="15.75">
      <c r="A1108" s="33" t="s">
        <v>2625</v>
      </c>
      <c r="B1108" s="33" t="s">
        <v>2619</v>
      </c>
      <c r="C1108" s="33" t="s">
        <v>894</v>
      </c>
      <c r="D1108" s="33"/>
      <c r="E1108" s="33"/>
      <c r="F1108" s="33"/>
      <c r="G1108" s="33"/>
      <c r="H1108" s="33"/>
      <c r="I1108" s="33"/>
      <c r="J1108" s="33"/>
      <c r="K1108" s="33"/>
    </row>
    <row r="1109" spans="1:11" ht="15.75">
      <c r="A1109" s="33" t="s">
        <v>2626</v>
      </c>
      <c r="B1109" s="33" t="s">
        <v>2619</v>
      </c>
      <c r="C1109" s="33" t="s">
        <v>895</v>
      </c>
      <c r="D1109" s="33"/>
      <c r="E1109" s="33"/>
      <c r="F1109" s="33"/>
      <c r="G1109" s="33"/>
      <c r="H1109" s="33"/>
      <c r="I1109" s="33"/>
      <c r="J1109" s="33"/>
      <c r="K1109" s="33"/>
    </row>
    <row r="1110" spans="1:11" ht="15.75">
      <c r="A1110" s="33" t="s">
        <v>302</v>
      </c>
      <c r="B1110" s="33" t="s">
        <v>2619</v>
      </c>
      <c r="C1110" s="33" t="s">
        <v>301</v>
      </c>
      <c r="D1110" s="33"/>
      <c r="E1110" s="33"/>
      <c r="F1110" s="33"/>
      <c r="G1110" s="33"/>
      <c r="H1110" s="33"/>
      <c r="I1110" s="33"/>
      <c r="J1110" s="33"/>
      <c r="K1110" s="33"/>
    </row>
    <row r="1111" spans="1:11" ht="15.75">
      <c r="A1111" s="33" t="s">
        <v>305</v>
      </c>
      <c r="B1111" s="33" t="s">
        <v>2619</v>
      </c>
      <c r="C1111" s="33" t="s">
        <v>304</v>
      </c>
      <c r="D1111" s="33"/>
      <c r="E1111" s="33"/>
      <c r="F1111" s="33"/>
      <c r="G1111" s="33"/>
      <c r="H1111" s="33"/>
      <c r="I1111" s="33"/>
      <c r="J1111" s="33"/>
      <c r="K1111" s="33"/>
    </row>
    <row r="1112" spans="1:11" ht="15.75">
      <c r="A1112" s="33" t="s">
        <v>308</v>
      </c>
      <c r="B1112" s="33" t="s">
        <v>2619</v>
      </c>
      <c r="C1112" s="33" t="s">
        <v>307</v>
      </c>
      <c r="D1112" s="33"/>
      <c r="E1112" s="33"/>
      <c r="F1112" s="33"/>
      <c r="G1112" s="33"/>
      <c r="H1112" s="33"/>
      <c r="I1112" s="33"/>
      <c r="J1112" s="33"/>
      <c r="K1112" s="33"/>
    </row>
    <row r="1113" spans="1:11" ht="15.75">
      <c r="A1113" s="33" t="s">
        <v>311</v>
      </c>
      <c r="B1113" s="33" t="s">
        <v>2619</v>
      </c>
      <c r="C1113" s="33" t="s">
        <v>310</v>
      </c>
      <c r="D1113" s="33"/>
      <c r="E1113" s="33"/>
      <c r="F1113" s="33"/>
      <c r="G1113" s="33"/>
      <c r="H1113" s="33"/>
      <c r="I1113" s="33"/>
      <c r="J1113" s="33"/>
      <c r="K1113" s="33"/>
    </row>
    <row r="1114" spans="1:11" ht="15.75">
      <c r="A1114" s="33" t="s">
        <v>314</v>
      </c>
      <c r="B1114" s="33" t="s">
        <v>2619</v>
      </c>
      <c r="C1114" s="33" t="s">
        <v>313</v>
      </c>
      <c r="D1114" s="33"/>
      <c r="E1114" s="33"/>
      <c r="F1114" s="33"/>
      <c r="G1114" s="33"/>
      <c r="H1114" s="33"/>
      <c r="I1114" s="33"/>
      <c r="J1114" s="33"/>
      <c r="K1114" s="33"/>
    </row>
    <row r="1115" spans="1:11" ht="15.75">
      <c r="A1115" s="33" t="s">
        <v>317</v>
      </c>
      <c r="B1115" s="33" t="s">
        <v>2619</v>
      </c>
      <c r="C1115" s="33" t="s">
        <v>316</v>
      </c>
      <c r="D1115" s="33"/>
      <c r="E1115" s="33"/>
      <c r="F1115" s="33"/>
      <c r="G1115" s="33"/>
      <c r="H1115" s="33"/>
      <c r="I1115" s="33"/>
      <c r="J1115" s="33"/>
      <c r="K1115" s="33"/>
    </row>
    <row r="1116" spans="1:11" ht="15.75">
      <c r="A1116" s="33" t="s">
        <v>320</v>
      </c>
      <c r="B1116" s="33" t="s">
        <v>2619</v>
      </c>
      <c r="C1116" s="33" t="s">
        <v>319</v>
      </c>
      <c r="D1116" s="33"/>
      <c r="E1116" s="33"/>
      <c r="F1116" s="33"/>
      <c r="G1116" s="33"/>
      <c r="H1116" s="33"/>
      <c r="I1116" s="33"/>
      <c r="J1116" s="33"/>
      <c r="K1116" s="33"/>
    </row>
    <row r="1117" spans="1:11" ht="15.75">
      <c r="A1117" s="33" t="s">
        <v>323</v>
      </c>
      <c r="B1117" s="33" t="s">
        <v>2619</v>
      </c>
      <c r="C1117" s="33" t="s">
        <v>322</v>
      </c>
      <c r="D1117" s="33"/>
      <c r="E1117" s="33"/>
      <c r="F1117" s="33"/>
      <c r="G1117" s="33"/>
      <c r="H1117" s="33"/>
      <c r="I1117" s="33"/>
      <c r="J1117" s="33"/>
      <c r="K1117" s="33"/>
    </row>
    <row r="1118" spans="1:11" ht="15.75">
      <c r="A1118" s="33" t="s">
        <v>326</v>
      </c>
      <c r="B1118" s="33" t="s">
        <v>2619</v>
      </c>
      <c r="C1118" s="33" t="s">
        <v>325</v>
      </c>
      <c r="D1118" s="33"/>
      <c r="E1118" s="33"/>
      <c r="F1118" s="33"/>
      <c r="G1118" s="33"/>
      <c r="H1118" s="33"/>
      <c r="I1118" s="33"/>
      <c r="J1118" s="33"/>
      <c r="K1118" s="33"/>
    </row>
    <row r="1119" spans="1:11" ht="15.75">
      <c r="A1119" s="33" t="s">
        <v>329</v>
      </c>
      <c r="B1119" s="33" t="s">
        <v>2619</v>
      </c>
      <c r="C1119" s="33" t="s">
        <v>328</v>
      </c>
      <c r="D1119" s="33"/>
      <c r="E1119" s="33"/>
      <c r="F1119" s="33"/>
      <c r="G1119" s="33"/>
      <c r="H1119" s="33"/>
      <c r="I1119" s="33"/>
      <c r="J1119" s="33"/>
      <c r="K1119" s="33"/>
    </row>
    <row r="1120" spans="1:11" ht="15.75">
      <c r="A1120" s="33" t="s">
        <v>332</v>
      </c>
      <c r="B1120" s="33" t="s">
        <v>2619</v>
      </c>
      <c r="C1120" s="33" t="s">
        <v>331</v>
      </c>
      <c r="D1120" s="33"/>
      <c r="E1120" s="33"/>
      <c r="F1120" s="33"/>
      <c r="G1120" s="33"/>
      <c r="H1120" s="33"/>
      <c r="I1120" s="33"/>
      <c r="J1120" s="33"/>
      <c r="K1120" s="33"/>
    </row>
    <row r="1121" spans="1:11" ht="15.75">
      <c r="A1121" s="33" t="s">
        <v>335</v>
      </c>
      <c r="B1121" s="33" t="s">
        <v>2619</v>
      </c>
      <c r="C1121" s="33" t="s">
        <v>334</v>
      </c>
      <c r="D1121" s="33"/>
      <c r="E1121" s="33"/>
      <c r="F1121" s="33"/>
      <c r="G1121" s="33"/>
      <c r="H1121" s="33"/>
      <c r="I1121" s="33"/>
      <c r="J1121" s="33"/>
      <c r="K1121" s="33"/>
    </row>
    <row r="1122" spans="1:11" ht="15.75">
      <c r="A1122" s="33" t="s">
        <v>338</v>
      </c>
      <c r="B1122" s="33" t="s">
        <v>2619</v>
      </c>
      <c r="C1122" s="33" t="s">
        <v>337</v>
      </c>
      <c r="D1122" s="33"/>
      <c r="E1122" s="33"/>
      <c r="F1122" s="33"/>
      <c r="G1122" s="33"/>
      <c r="H1122" s="33"/>
      <c r="I1122" s="33"/>
      <c r="J1122" s="33"/>
      <c r="K1122" s="33"/>
    </row>
    <row r="1123" spans="1:11" ht="15.75">
      <c r="A1123" s="33" t="s">
        <v>341</v>
      </c>
      <c r="B1123" s="33" t="s">
        <v>2619</v>
      </c>
      <c r="C1123" s="33" t="s">
        <v>340</v>
      </c>
      <c r="D1123" s="33"/>
      <c r="E1123" s="33"/>
      <c r="F1123" s="33"/>
      <c r="G1123" s="33"/>
      <c r="H1123" s="33"/>
      <c r="I1123" s="33"/>
      <c r="J1123" s="33"/>
      <c r="K1123" s="33"/>
    </row>
    <row r="1124" spans="1:11" ht="15.75">
      <c r="A1124" s="33" t="s">
        <v>344</v>
      </c>
      <c r="B1124" s="33" t="s">
        <v>2619</v>
      </c>
      <c r="C1124" s="33" t="s">
        <v>343</v>
      </c>
      <c r="D1124" s="33"/>
      <c r="E1124" s="33"/>
      <c r="F1124" s="33"/>
      <c r="G1124" s="33"/>
      <c r="H1124" s="33"/>
      <c r="I1124" s="33"/>
      <c r="J1124" s="33"/>
      <c r="K1124" s="33"/>
    </row>
    <row r="1125" spans="1:11" ht="15.75">
      <c r="A1125" s="33" t="s">
        <v>347</v>
      </c>
      <c r="B1125" s="33" t="s">
        <v>2619</v>
      </c>
      <c r="C1125" s="33" t="s">
        <v>346</v>
      </c>
      <c r="D1125" s="33"/>
      <c r="E1125" s="33"/>
      <c r="F1125" s="33"/>
      <c r="G1125" s="33"/>
      <c r="H1125" s="33"/>
      <c r="I1125" s="33"/>
      <c r="J1125" s="33"/>
      <c r="K1125" s="33"/>
    </row>
    <row r="1126" spans="1:11" ht="15.75">
      <c r="A1126" s="33" t="s">
        <v>350</v>
      </c>
      <c r="B1126" s="33" t="s">
        <v>2619</v>
      </c>
      <c r="C1126" s="33" t="s">
        <v>349</v>
      </c>
      <c r="D1126" s="33"/>
      <c r="E1126" s="33"/>
      <c r="F1126" s="33"/>
      <c r="G1126" s="33"/>
      <c r="H1126" s="33"/>
      <c r="I1126" s="33"/>
      <c r="J1126" s="33"/>
      <c r="K1126" s="33"/>
    </row>
    <row r="1127" spans="1:11" ht="15.75">
      <c r="A1127" s="33" t="s">
        <v>353</v>
      </c>
      <c r="B1127" s="33" t="s">
        <v>2619</v>
      </c>
      <c r="C1127" s="33" t="s">
        <v>352</v>
      </c>
      <c r="D1127" s="33"/>
      <c r="E1127" s="33"/>
      <c r="F1127" s="33"/>
      <c r="G1127" s="33"/>
      <c r="H1127" s="33"/>
      <c r="I1127" s="33"/>
      <c r="J1127" s="33"/>
      <c r="K1127" s="33"/>
    </row>
    <row r="1128" spans="1:11" ht="15.75">
      <c r="A1128" s="33" t="s">
        <v>356</v>
      </c>
      <c r="B1128" s="33" t="s">
        <v>2619</v>
      </c>
      <c r="C1128" s="33" t="s">
        <v>355</v>
      </c>
      <c r="D1128" s="33"/>
      <c r="E1128" s="33"/>
      <c r="F1128" s="33"/>
      <c r="G1128" s="33"/>
      <c r="H1128" s="33"/>
      <c r="I1128" s="33"/>
      <c r="J1128" s="33"/>
      <c r="K1128" s="33"/>
    </row>
    <row r="1129" spans="1:11" ht="15.75">
      <c r="A1129" s="33" t="s">
        <v>359</v>
      </c>
      <c r="B1129" s="33" t="s">
        <v>2619</v>
      </c>
      <c r="C1129" s="33" t="s">
        <v>358</v>
      </c>
      <c r="D1129" s="33"/>
      <c r="E1129" s="33"/>
      <c r="F1129" s="33"/>
      <c r="G1129" s="33"/>
      <c r="H1129" s="33"/>
      <c r="I1129" s="33"/>
      <c r="J1129" s="33"/>
      <c r="K1129" s="33"/>
    </row>
    <row r="1130" spans="1:11" ht="15.75">
      <c r="A1130" s="33" t="s">
        <v>362</v>
      </c>
      <c r="B1130" s="33" t="s">
        <v>2619</v>
      </c>
      <c r="C1130" s="33" t="s">
        <v>361</v>
      </c>
      <c r="D1130" s="33"/>
      <c r="E1130" s="33"/>
      <c r="F1130" s="33"/>
      <c r="G1130" s="33"/>
      <c r="H1130" s="33"/>
      <c r="I1130" s="33"/>
      <c r="J1130" s="33"/>
      <c r="K1130" s="33"/>
    </row>
    <row r="1131" spans="1:11" ht="15.75">
      <c r="A1131" s="33" t="s">
        <v>365</v>
      </c>
      <c r="B1131" s="33" t="s">
        <v>2619</v>
      </c>
      <c r="C1131" s="33" t="s">
        <v>364</v>
      </c>
      <c r="D1131" s="33"/>
      <c r="E1131" s="33"/>
      <c r="F1131" s="33"/>
      <c r="G1131" s="33"/>
      <c r="H1131" s="33"/>
      <c r="I1131" s="33"/>
      <c r="J1131" s="33"/>
      <c r="K1131" s="33"/>
    </row>
    <row r="1132" spans="1:11" ht="15.75">
      <c r="A1132" s="33" t="s">
        <v>368</v>
      </c>
      <c r="B1132" s="33" t="s">
        <v>2619</v>
      </c>
      <c r="C1132" s="33" t="s">
        <v>367</v>
      </c>
      <c r="D1132" s="33"/>
      <c r="E1132" s="33"/>
      <c r="F1132" s="33"/>
      <c r="G1132" s="33"/>
      <c r="H1132" s="33"/>
      <c r="I1132" s="33"/>
      <c r="J1132" s="33"/>
      <c r="K1132" s="33"/>
    </row>
    <row r="1133" spans="1:11" ht="15.75">
      <c r="A1133" s="33" t="s">
        <v>371</v>
      </c>
      <c r="B1133" s="33" t="s">
        <v>2619</v>
      </c>
      <c r="C1133" s="33" t="s">
        <v>370</v>
      </c>
      <c r="D1133" s="33"/>
      <c r="E1133" s="33"/>
      <c r="F1133" s="33"/>
      <c r="G1133" s="33"/>
      <c r="H1133" s="33"/>
      <c r="I1133" s="33"/>
      <c r="J1133" s="33"/>
      <c r="K1133" s="33"/>
    </row>
    <row r="1134" spans="1:11" ht="15.75">
      <c r="A1134" s="33" t="s">
        <v>374</v>
      </c>
      <c r="B1134" s="33" t="s">
        <v>2619</v>
      </c>
      <c r="C1134" s="33" t="s">
        <v>373</v>
      </c>
      <c r="D1134" s="33"/>
      <c r="E1134" s="33"/>
      <c r="F1134" s="33"/>
      <c r="G1134" s="33"/>
      <c r="H1134" s="33"/>
      <c r="I1134" s="33"/>
      <c r="J1134" s="33"/>
      <c r="K1134" s="33"/>
    </row>
    <row r="1135" spans="1:11" ht="15.75">
      <c r="A1135" s="33" t="s">
        <v>377</v>
      </c>
      <c r="B1135" s="33" t="s">
        <v>2619</v>
      </c>
      <c r="C1135" s="33" t="s">
        <v>376</v>
      </c>
      <c r="D1135" s="33"/>
      <c r="E1135" s="33"/>
      <c r="F1135" s="33"/>
      <c r="G1135" s="33"/>
      <c r="H1135" s="33"/>
      <c r="I1135" s="33"/>
      <c r="J1135" s="33"/>
      <c r="K1135" s="33"/>
    </row>
    <row r="1136" spans="1:11" ht="15.75">
      <c r="A1136" s="33" t="s">
        <v>380</v>
      </c>
      <c r="B1136" s="33" t="s">
        <v>2619</v>
      </c>
      <c r="C1136" s="33" t="s">
        <v>379</v>
      </c>
      <c r="D1136" s="33"/>
      <c r="E1136" s="33"/>
      <c r="F1136" s="33"/>
      <c r="G1136" s="33"/>
      <c r="H1136" s="33"/>
      <c r="I1136" s="33"/>
      <c r="J1136" s="33"/>
      <c r="K1136" s="33"/>
    </row>
    <row r="1137" spans="1:11" ht="15.75">
      <c r="A1137" s="33" t="s">
        <v>383</v>
      </c>
      <c r="B1137" s="33" t="s">
        <v>2619</v>
      </c>
      <c r="C1137" s="33" t="s">
        <v>382</v>
      </c>
      <c r="D1137" s="33"/>
      <c r="E1137" s="33"/>
      <c r="F1137" s="33"/>
      <c r="G1137" s="33"/>
      <c r="H1137" s="33"/>
      <c r="I1137" s="33"/>
      <c r="J1137" s="33"/>
      <c r="K1137" s="33"/>
    </row>
    <row r="1138" spans="1:11" ht="15.75">
      <c r="A1138" s="33" t="s">
        <v>386</v>
      </c>
      <c r="B1138" s="33" t="s">
        <v>2619</v>
      </c>
      <c r="C1138" s="33" t="s">
        <v>385</v>
      </c>
      <c r="D1138" s="33"/>
      <c r="E1138" s="33"/>
      <c r="F1138" s="33"/>
      <c r="G1138" s="33"/>
      <c r="H1138" s="33"/>
      <c r="I1138" s="33"/>
      <c r="J1138" s="33"/>
      <c r="K1138" s="33"/>
    </row>
    <row r="1139" spans="1:11" ht="15.75">
      <c r="A1139" s="33" t="s">
        <v>389</v>
      </c>
      <c r="B1139" s="33" t="s">
        <v>2619</v>
      </c>
      <c r="C1139" s="33" t="s">
        <v>388</v>
      </c>
      <c r="D1139" s="33"/>
      <c r="E1139" s="33"/>
      <c r="F1139" s="33"/>
      <c r="G1139" s="33"/>
      <c r="H1139" s="33"/>
      <c r="I1139" s="33"/>
      <c r="J1139" s="33"/>
      <c r="K1139" s="33"/>
    </row>
    <row r="1140" spans="1:11" ht="15.75">
      <c r="A1140" s="33" t="s">
        <v>392</v>
      </c>
      <c r="B1140" s="33" t="s">
        <v>2619</v>
      </c>
      <c r="C1140" s="33" t="s">
        <v>391</v>
      </c>
      <c r="D1140" s="33"/>
      <c r="E1140" s="33"/>
      <c r="F1140" s="33"/>
      <c r="G1140" s="33"/>
      <c r="H1140" s="33"/>
      <c r="I1140" s="33"/>
      <c r="J1140" s="33"/>
      <c r="K1140" s="33"/>
    </row>
    <row r="1141" spans="1:11" ht="15.75">
      <c r="A1141" s="33" t="s">
        <v>395</v>
      </c>
      <c r="B1141" s="33" t="s">
        <v>2619</v>
      </c>
      <c r="C1141" s="33" t="s">
        <v>394</v>
      </c>
      <c r="D1141" s="33"/>
      <c r="E1141" s="33"/>
      <c r="F1141" s="33"/>
      <c r="G1141" s="33"/>
      <c r="H1141" s="33"/>
      <c r="I1141" s="33"/>
      <c r="J1141" s="33"/>
      <c r="K1141" s="33"/>
    </row>
    <row r="1142" spans="1:11" ht="15.75">
      <c r="A1142" s="33" t="s">
        <v>398</v>
      </c>
      <c r="B1142" s="33" t="s">
        <v>2619</v>
      </c>
      <c r="C1142" s="33" t="s">
        <v>397</v>
      </c>
      <c r="D1142" s="33"/>
      <c r="E1142" s="33"/>
      <c r="F1142" s="33"/>
      <c r="G1142" s="33"/>
      <c r="H1142" s="33"/>
      <c r="I1142" s="33"/>
      <c r="J1142" s="33"/>
      <c r="K1142" s="33"/>
    </row>
    <row r="1143" spans="1:11" ht="15.75">
      <c r="A1143" s="33" t="s">
        <v>401</v>
      </c>
      <c r="B1143" s="33" t="s">
        <v>2619</v>
      </c>
      <c r="C1143" s="33" t="s">
        <v>400</v>
      </c>
      <c r="D1143" s="33"/>
      <c r="E1143" s="33"/>
      <c r="F1143" s="33"/>
      <c r="G1143" s="33"/>
      <c r="H1143" s="33"/>
      <c r="I1143" s="33"/>
      <c r="J1143" s="33"/>
      <c r="K1143" s="33"/>
    </row>
    <row r="1144" spans="1:11" ht="15.75">
      <c r="A1144" s="33" t="s">
        <v>404</v>
      </c>
      <c r="B1144" s="33" t="s">
        <v>2619</v>
      </c>
      <c r="C1144" s="33" t="s">
        <v>403</v>
      </c>
      <c r="D1144" s="33"/>
      <c r="E1144" s="33"/>
      <c r="F1144" s="33"/>
      <c r="G1144" s="33"/>
      <c r="H1144" s="33"/>
      <c r="I1144" s="33"/>
      <c r="J1144" s="33"/>
      <c r="K1144" s="33"/>
    </row>
    <row r="1145" spans="1:11" ht="15.75">
      <c r="A1145" s="33" t="s">
        <v>407</v>
      </c>
      <c r="B1145" s="33" t="s">
        <v>2619</v>
      </c>
      <c r="C1145" s="33" t="s">
        <v>406</v>
      </c>
      <c r="D1145" s="33"/>
      <c r="E1145" s="33"/>
      <c r="F1145" s="33"/>
      <c r="G1145" s="33"/>
      <c r="H1145" s="33"/>
      <c r="I1145" s="33"/>
      <c r="J1145" s="33"/>
      <c r="K1145" s="33"/>
    </row>
    <row r="1146" spans="1:11" ht="15.75">
      <c r="A1146" s="33" t="s">
        <v>410</v>
      </c>
      <c r="B1146" s="33" t="s">
        <v>2619</v>
      </c>
      <c r="C1146" s="33" t="s">
        <v>409</v>
      </c>
      <c r="D1146" s="33"/>
      <c r="E1146" s="33"/>
      <c r="F1146" s="33"/>
      <c r="G1146" s="33"/>
      <c r="H1146" s="33"/>
      <c r="I1146" s="33"/>
      <c r="J1146" s="33"/>
      <c r="K1146" s="33"/>
    </row>
    <row r="1147" spans="1:11" ht="15.75">
      <c r="A1147" s="33" t="s">
        <v>413</v>
      </c>
      <c r="B1147" s="33" t="s">
        <v>2619</v>
      </c>
      <c r="C1147" s="33" t="s">
        <v>412</v>
      </c>
      <c r="D1147" s="33"/>
      <c r="E1147" s="33"/>
      <c r="F1147" s="33"/>
      <c r="G1147" s="33"/>
      <c r="H1147" s="33"/>
      <c r="I1147" s="33"/>
      <c r="J1147" s="33"/>
      <c r="K1147" s="33"/>
    </row>
    <row r="1148" spans="1:11" ht="15.75">
      <c r="A1148" s="33" t="s">
        <v>416</v>
      </c>
      <c r="B1148" s="33" t="s">
        <v>2619</v>
      </c>
      <c r="C1148" s="33" t="s">
        <v>415</v>
      </c>
      <c r="D1148" s="33"/>
      <c r="E1148" s="33"/>
      <c r="F1148" s="33"/>
      <c r="G1148" s="33"/>
      <c r="H1148" s="33"/>
      <c r="I1148" s="33"/>
      <c r="J1148" s="33"/>
      <c r="K1148" s="33"/>
    </row>
    <row r="1149" spans="1:11" ht="15.75">
      <c r="A1149" s="33" t="s">
        <v>419</v>
      </c>
      <c r="B1149" s="33" t="s">
        <v>2619</v>
      </c>
      <c r="C1149" s="33" t="s">
        <v>418</v>
      </c>
      <c r="D1149" s="33"/>
      <c r="E1149" s="33"/>
      <c r="F1149" s="33"/>
      <c r="G1149" s="33"/>
      <c r="H1149" s="33"/>
      <c r="I1149" s="33"/>
      <c r="J1149" s="33"/>
      <c r="K1149" s="33"/>
    </row>
    <row r="1150" spans="1:11" ht="15.75">
      <c r="A1150" s="33" t="s">
        <v>422</v>
      </c>
      <c r="B1150" s="33" t="s">
        <v>2619</v>
      </c>
      <c r="C1150" s="33" t="s">
        <v>421</v>
      </c>
      <c r="D1150" s="33"/>
      <c r="E1150" s="33"/>
      <c r="F1150" s="33"/>
      <c r="G1150" s="33"/>
      <c r="H1150" s="33"/>
      <c r="I1150" s="33"/>
      <c r="J1150" s="33"/>
      <c r="K1150" s="33"/>
    </row>
    <row r="1151" spans="1:11" ht="15.75">
      <c r="A1151" s="33" t="s">
        <v>425</v>
      </c>
      <c r="B1151" s="33" t="s">
        <v>2619</v>
      </c>
      <c r="C1151" s="33" t="s">
        <v>424</v>
      </c>
      <c r="D1151" s="33"/>
      <c r="E1151" s="33"/>
      <c r="F1151" s="33"/>
      <c r="G1151" s="33"/>
      <c r="H1151" s="33"/>
      <c r="I1151" s="33"/>
      <c r="J1151" s="33"/>
      <c r="K1151" s="33"/>
    </row>
    <row r="1152" spans="1:11" ht="15.75">
      <c r="A1152" s="33" t="s">
        <v>428</v>
      </c>
      <c r="B1152" s="33" t="s">
        <v>2619</v>
      </c>
      <c r="C1152" s="33" t="s">
        <v>427</v>
      </c>
      <c r="D1152" s="33"/>
      <c r="E1152" s="33"/>
      <c r="F1152" s="33"/>
      <c r="G1152" s="33"/>
      <c r="H1152" s="33"/>
      <c r="I1152" s="33"/>
      <c r="J1152" s="33"/>
      <c r="K1152" s="33"/>
    </row>
    <row r="1153" spans="1:11" ht="15.75">
      <c r="A1153" s="33" t="s">
        <v>431</v>
      </c>
      <c r="B1153" s="33" t="s">
        <v>2619</v>
      </c>
      <c r="C1153" s="33" t="s">
        <v>430</v>
      </c>
      <c r="D1153" s="33"/>
      <c r="E1153" s="33"/>
      <c r="F1153" s="33"/>
      <c r="G1153" s="33"/>
      <c r="H1153" s="33"/>
      <c r="I1153" s="33"/>
      <c r="J1153" s="33"/>
      <c r="K1153" s="33"/>
    </row>
    <row r="1154" spans="1:11" ht="15.75">
      <c r="A1154" s="33" t="s">
        <v>434</v>
      </c>
      <c r="B1154" s="33" t="s">
        <v>2619</v>
      </c>
      <c r="C1154" s="33" t="s">
        <v>433</v>
      </c>
      <c r="D1154" s="33"/>
      <c r="E1154" s="33"/>
      <c r="F1154" s="33"/>
      <c r="G1154" s="33"/>
      <c r="H1154" s="33"/>
      <c r="I1154" s="33"/>
      <c r="J1154" s="33"/>
      <c r="K1154" s="33"/>
    </row>
    <row r="1155" spans="1:11" ht="15.75">
      <c r="A1155" s="33" t="s">
        <v>437</v>
      </c>
      <c r="B1155" s="33" t="s">
        <v>2619</v>
      </c>
      <c r="C1155" s="33" t="s">
        <v>436</v>
      </c>
      <c r="D1155" s="33"/>
      <c r="E1155" s="33"/>
      <c r="F1155" s="33"/>
      <c r="G1155" s="33"/>
      <c r="H1155" s="33"/>
      <c r="I1155" s="33"/>
      <c r="J1155" s="33"/>
      <c r="K1155" s="33"/>
    </row>
    <row r="1156" spans="1:11" ht="15.75">
      <c r="A1156" s="33" t="s">
        <v>440</v>
      </c>
      <c r="B1156" s="33" t="s">
        <v>2619</v>
      </c>
      <c r="C1156" s="33" t="s">
        <v>439</v>
      </c>
      <c r="D1156" s="33"/>
      <c r="E1156" s="33"/>
      <c r="F1156" s="33"/>
      <c r="G1156" s="33"/>
      <c r="H1156" s="33"/>
      <c r="I1156" s="33"/>
      <c r="J1156" s="33"/>
      <c r="K1156" s="33"/>
    </row>
    <row r="1157" spans="1:11" ht="15.75">
      <c r="A1157" s="33" t="s">
        <v>443</v>
      </c>
      <c r="B1157" s="33" t="s">
        <v>2619</v>
      </c>
      <c r="C1157" s="33" t="s">
        <v>442</v>
      </c>
      <c r="D1157" s="33"/>
      <c r="E1157" s="33"/>
      <c r="F1157" s="33"/>
      <c r="G1157" s="33"/>
      <c r="H1157" s="33"/>
      <c r="I1157" s="33"/>
      <c r="J1157" s="33"/>
      <c r="K1157" s="33"/>
    </row>
    <row r="1158" spans="1:11" ht="15.75">
      <c r="A1158" s="33" t="s">
        <v>446</v>
      </c>
      <c r="B1158" s="33" t="s">
        <v>2619</v>
      </c>
      <c r="C1158" s="33" t="s">
        <v>445</v>
      </c>
      <c r="D1158" s="33"/>
      <c r="E1158" s="33"/>
      <c r="F1158" s="33"/>
      <c r="G1158" s="33"/>
      <c r="H1158" s="33"/>
      <c r="I1158" s="33"/>
      <c r="J1158" s="33"/>
      <c r="K1158" s="33"/>
    </row>
    <row r="1159" spans="1:11" ht="15.75">
      <c r="A1159" s="33" t="s">
        <v>449</v>
      </c>
      <c r="B1159" s="33" t="s">
        <v>2619</v>
      </c>
      <c r="C1159" s="33" t="s">
        <v>448</v>
      </c>
      <c r="D1159" s="33"/>
      <c r="E1159" s="33"/>
      <c r="F1159" s="33"/>
      <c r="G1159" s="33"/>
      <c r="H1159" s="33"/>
      <c r="I1159" s="33"/>
      <c r="J1159" s="33"/>
      <c r="K1159" s="33"/>
    </row>
    <row r="1160" spans="1:11" ht="15.75">
      <c r="A1160" s="33" t="s">
        <v>452</v>
      </c>
      <c r="B1160" s="33" t="s">
        <v>2619</v>
      </c>
      <c r="C1160" s="33" t="s">
        <v>451</v>
      </c>
      <c r="D1160" s="33"/>
      <c r="E1160" s="33"/>
      <c r="F1160" s="33"/>
      <c r="G1160" s="33"/>
      <c r="H1160" s="33"/>
      <c r="I1160" s="33"/>
      <c r="J1160" s="33"/>
      <c r="K1160" s="33"/>
    </row>
    <row r="1161" spans="1:11" ht="15.75">
      <c r="A1161" s="33" t="s">
        <v>455</v>
      </c>
      <c r="B1161" s="33" t="s">
        <v>2619</v>
      </c>
      <c r="C1161" s="33" t="s">
        <v>454</v>
      </c>
      <c r="D1161" s="33"/>
      <c r="E1161" s="33"/>
      <c r="F1161" s="33"/>
      <c r="G1161" s="33"/>
      <c r="H1161" s="33"/>
      <c r="I1161" s="33"/>
      <c r="J1161" s="33"/>
      <c r="K1161" s="33"/>
    </row>
    <row r="1162" spans="1:11" ht="15.75">
      <c r="A1162" s="33" t="s">
        <v>458</v>
      </c>
      <c r="B1162" s="33" t="s">
        <v>2619</v>
      </c>
      <c r="C1162" s="33" t="s">
        <v>457</v>
      </c>
      <c r="D1162" s="33"/>
      <c r="E1162" s="33"/>
      <c r="F1162" s="33"/>
      <c r="G1162" s="33"/>
      <c r="H1162" s="33"/>
      <c r="I1162" s="33"/>
      <c r="J1162" s="33"/>
      <c r="K1162" s="33"/>
    </row>
    <row r="1163" spans="1:11" ht="15.75">
      <c r="A1163" s="33" t="s">
        <v>461</v>
      </c>
      <c r="B1163" s="33" t="s">
        <v>2619</v>
      </c>
      <c r="C1163" s="33" t="s">
        <v>460</v>
      </c>
      <c r="D1163" s="33"/>
      <c r="E1163" s="33"/>
      <c r="F1163" s="33"/>
      <c r="G1163" s="33"/>
      <c r="H1163" s="33"/>
      <c r="I1163" s="33"/>
      <c r="J1163" s="33"/>
      <c r="K1163" s="33"/>
    </row>
    <row r="1164" spans="1:11" ht="15.75">
      <c r="A1164" s="33" t="s">
        <v>464</v>
      </c>
      <c r="B1164" s="33" t="s">
        <v>2619</v>
      </c>
      <c r="C1164" s="33" t="s">
        <v>463</v>
      </c>
      <c r="D1164" s="33"/>
      <c r="E1164" s="33"/>
      <c r="F1164" s="33"/>
      <c r="G1164" s="33"/>
      <c r="H1164" s="33"/>
      <c r="I1164" s="33"/>
      <c r="J1164" s="33"/>
      <c r="K1164" s="33"/>
    </row>
    <row r="1165" spans="1:11" ht="15.75">
      <c r="A1165" s="33" t="s">
        <v>467</v>
      </c>
      <c r="B1165" s="33" t="s">
        <v>2619</v>
      </c>
      <c r="C1165" s="33" t="s">
        <v>466</v>
      </c>
      <c r="D1165" s="33"/>
      <c r="E1165" s="33"/>
      <c r="F1165" s="33"/>
      <c r="G1165" s="33"/>
      <c r="H1165" s="33"/>
      <c r="I1165" s="33"/>
      <c r="J1165" s="33"/>
      <c r="K1165" s="33"/>
    </row>
    <row r="1166" spans="1:11" ht="15.75">
      <c r="A1166" s="33" t="s">
        <v>470</v>
      </c>
      <c r="B1166" s="33" t="s">
        <v>2619</v>
      </c>
      <c r="C1166" s="33" t="s">
        <v>469</v>
      </c>
      <c r="D1166" s="33"/>
      <c r="E1166" s="33"/>
      <c r="F1166" s="33"/>
      <c r="G1166" s="33"/>
      <c r="H1166" s="33"/>
      <c r="I1166" s="33"/>
      <c r="J1166" s="33"/>
      <c r="K1166" s="33"/>
    </row>
    <row r="1167" spans="1:11" ht="15.75">
      <c r="A1167" s="33" t="s">
        <v>473</v>
      </c>
      <c r="B1167" s="33" t="s">
        <v>2619</v>
      </c>
      <c r="C1167" s="33" t="s">
        <v>472</v>
      </c>
      <c r="D1167" s="33"/>
      <c r="E1167" s="33"/>
      <c r="F1167" s="33"/>
      <c r="G1167" s="33"/>
      <c r="H1167" s="33"/>
      <c r="I1167" s="33"/>
      <c r="J1167" s="33"/>
      <c r="K1167" s="33"/>
    </row>
    <row r="1168" spans="1:11" ht="15.75">
      <c r="A1168" s="33" t="s">
        <v>476</v>
      </c>
      <c r="B1168" s="33" t="s">
        <v>2619</v>
      </c>
      <c r="C1168" s="33" t="s">
        <v>475</v>
      </c>
      <c r="D1168" s="33"/>
      <c r="E1168" s="33"/>
      <c r="F1168" s="33"/>
      <c r="G1168" s="33"/>
      <c r="H1168" s="33"/>
      <c r="I1168" s="33"/>
      <c r="J1168" s="33"/>
      <c r="K1168" s="33"/>
    </row>
    <row r="1169" spans="1:11" ht="15.75">
      <c r="A1169" s="33" t="s">
        <v>479</v>
      </c>
      <c r="B1169" s="33" t="s">
        <v>2619</v>
      </c>
      <c r="C1169" s="33" t="s">
        <v>478</v>
      </c>
      <c r="D1169" s="33"/>
      <c r="E1169" s="33"/>
      <c r="F1169" s="33"/>
      <c r="G1169" s="33"/>
      <c r="H1169" s="33"/>
      <c r="I1169" s="33"/>
      <c r="J1169" s="33"/>
      <c r="K1169" s="33"/>
    </row>
    <row r="1170" spans="1:11" ht="15.75">
      <c r="A1170" s="33" t="s">
        <v>482</v>
      </c>
      <c r="B1170" s="33" t="s">
        <v>2619</v>
      </c>
      <c r="C1170" s="33" t="s">
        <v>481</v>
      </c>
      <c r="D1170" s="33"/>
      <c r="E1170" s="33"/>
      <c r="F1170" s="33"/>
      <c r="G1170" s="33"/>
      <c r="H1170" s="33"/>
      <c r="I1170" s="33"/>
      <c r="J1170" s="33"/>
      <c r="K1170" s="33"/>
    </row>
    <row r="1171" spans="1:11" ht="15.75">
      <c r="A1171" s="33" t="s">
        <v>485</v>
      </c>
      <c r="B1171" s="33" t="s">
        <v>2619</v>
      </c>
      <c r="C1171" s="33" t="s">
        <v>484</v>
      </c>
      <c r="D1171" s="33"/>
      <c r="E1171" s="33"/>
      <c r="F1171" s="33"/>
      <c r="G1171" s="33"/>
      <c r="H1171" s="33"/>
      <c r="I1171" s="33"/>
      <c r="J1171" s="33"/>
      <c r="K1171" s="33"/>
    </row>
    <row r="1172" spans="1:11" ht="15.75">
      <c r="A1172" s="33" t="s">
        <v>488</v>
      </c>
      <c r="B1172" s="33" t="s">
        <v>2619</v>
      </c>
      <c r="C1172" s="33" t="s">
        <v>487</v>
      </c>
      <c r="D1172" s="33"/>
      <c r="E1172" s="33"/>
      <c r="F1172" s="33"/>
      <c r="G1172" s="33"/>
      <c r="H1172" s="33"/>
      <c r="I1172" s="33"/>
      <c r="J1172" s="33"/>
      <c r="K1172" s="33"/>
    </row>
    <row r="1173" spans="1:11" ht="15.75">
      <c r="A1173" s="33" t="s">
        <v>491</v>
      </c>
      <c r="B1173" s="33" t="s">
        <v>2619</v>
      </c>
      <c r="C1173" s="33" t="s">
        <v>490</v>
      </c>
      <c r="D1173" s="33"/>
      <c r="E1173" s="33"/>
      <c r="F1173" s="33"/>
      <c r="G1173" s="33"/>
      <c r="H1173" s="33"/>
      <c r="I1173" s="33"/>
      <c r="J1173" s="33"/>
      <c r="K1173" s="33"/>
    </row>
    <row r="1174" spans="1:11" ht="15.75">
      <c r="A1174" s="33" t="s">
        <v>494</v>
      </c>
      <c r="B1174" s="33" t="s">
        <v>2619</v>
      </c>
      <c r="C1174" s="33" t="s">
        <v>493</v>
      </c>
      <c r="D1174" s="33"/>
      <c r="E1174" s="33"/>
      <c r="F1174" s="33"/>
      <c r="G1174" s="33"/>
      <c r="H1174" s="33"/>
      <c r="I1174" s="33"/>
      <c r="J1174" s="33"/>
      <c r="K1174" s="33"/>
    </row>
    <row r="1175" spans="1:11" ht="15.75">
      <c r="A1175" s="33" t="s">
        <v>497</v>
      </c>
      <c r="B1175" s="33" t="s">
        <v>2619</v>
      </c>
      <c r="C1175" s="33" t="s">
        <v>496</v>
      </c>
      <c r="D1175" s="33"/>
      <c r="E1175" s="33"/>
      <c r="F1175" s="33"/>
      <c r="G1175" s="33"/>
      <c r="H1175" s="33"/>
      <c r="I1175" s="33"/>
      <c r="J1175" s="33"/>
      <c r="K1175" s="33"/>
    </row>
    <row r="1176" spans="1:11" ht="15.75">
      <c r="A1176" s="33" t="s">
        <v>500</v>
      </c>
      <c r="B1176" s="33" t="s">
        <v>2619</v>
      </c>
      <c r="C1176" s="33" t="s">
        <v>499</v>
      </c>
      <c r="D1176" s="33"/>
      <c r="E1176" s="33"/>
      <c r="F1176" s="33"/>
      <c r="G1176" s="33"/>
      <c r="H1176" s="33"/>
      <c r="I1176" s="33"/>
      <c r="J1176" s="33"/>
      <c r="K1176" s="33"/>
    </row>
    <row r="1177" spans="1:11" ht="15.75">
      <c r="A1177" s="33" t="s">
        <v>503</v>
      </c>
      <c r="B1177" s="33" t="s">
        <v>2619</v>
      </c>
      <c r="C1177" s="33" t="s">
        <v>502</v>
      </c>
      <c r="D1177" s="33"/>
      <c r="E1177" s="33"/>
      <c r="F1177" s="33"/>
      <c r="G1177" s="33"/>
      <c r="H1177" s="33"/>
      <c r="I1177" s="33"/>
      <c r="J1177" s="33"/>
      <c r="K1177" s="33"/>
    </row>
    <row r="1178" spans="1:11" ht="15.75">
      <c r="A1178" s="33" t="s">
        <v>506</v>
      </c>
      <c r="B1178" s="33" t="s">
        <v>2619</v>
      </c>
      <c r="C1178" s="33" t="s">
        <v>505</v>
      </c>
      <c r="D1178" s="33"/>
      <c r="E1178" s="33"/>
      <c r="F1178" s="33"/>
      <c r="G1178" s="33"/>
      <c r="H1178" s="33"/>
      <c r="I1178" s="33"/>
      <c r="J1178" s="33"/>
      <c r="K1178" s="33"/>
    </row>
    <row r="1179" spans="1:11" ht="15.75">
      <c r="A1179" s="33" t="s">
        <v>509</v>
      </c>
      <c r="B1179" s="33" t="s">
        <v>2619</v>
      </c>
      <c r="C1179" s="33" t="s">
        <v>508</v>
      </c>
      <c r="D1179" s="33"/>
      <c r="E1179" s="33"/>
      <c r="F1179" s="33"/>
      <c r="G1179" s="33"/>
      <c r="H1179" s="33"/>
      <c r="I1179" s="33"/>
      <c r="J1179" s="33"/>
      <c r="K1179" s="33"/>
    </row>
    <row r="1180" spans="1:11" ht="15.75">
      <c r="A1180" s="33" t="s">
        <v>512</v>
      </c>
      <c r="B1180" s="33" t="s">
        <v>2619</v>
      </c>
      <c r="C1180" s="33" t="s">
        <v>511</v>
      </c>
      <c r="D1180" s="33"/>
      <c r="E1180" s="33"/>
      <c r="F1180" s="33"/>
      <c r="G1180" s="33"/>
      <c r="H1180" s="33"/>
      <c r="I1180" s="33"/>
      <c r="J1180" s="33"/>
      <c r="K1180" s="33"/>
    </row>
    <row r="1181" spans="1:11" ht="15.75">
      <c r="A1181" s="33" t="s">
        <v>515</v>
      </c>
      <c r="B1181" s="33" t="s">
        <v>2619</v>
      </c>
      <c r="C1181" s="33" t="s">
        <v>514</v>
      </c>
      <c r="D1181" s="33"/>
      <c r="E1181" s="33"/>
      <c r="F1181" s="33"/>
      <c r="G1181" s="33"/>
      <c r="H1181" s="33"/>
      <c r="I1181" s="33"/>
      <c r="J1181" s="33"/>
      <c r="K1181" s="33"/>
    </row>
    <row r="1182" spans="1:11" ht="15.75">
      <c r="A1182" s="33" t="s">
        <v>518</v>
      </c>
      <c r="B1182" s="33" t="s">
        <v>2619</v>
      </c>
      <c r="C1182" s="33" t="s">
        <v>517</v>
      </c>
      <c r="D1182" s="33"/>
      <c r="E1182" s="33"/>
      <c r="F1182" s="33"/>
      <c r="G1182" s="33"/>
      <c r="H1182" s="33"/>
      <c r="I1182" s="33"/>
      <c r="J1182" s="33"/>
      <c r="K1182" s="33"/>
    </row>
    <row r="1183" spans="1:11" ht="15.75">
      <c r="A1183" s="33" t="s">
        <v>521</v>
      </c>
      <c r="B1183" s="33" t="s">
        <v>2619</v>
      </c>
      <c r="C1183" s="33" t="s">
        <v>520</v>
      </c>
      <c r="D1183" s="33"/>
      <c r="E1183" s="33"/>
      <c r="F1183" s="33"/>
      <c r="G1183" s="33"/>
      <c r="H1183" s="33"/>
      <c r="I1183" s="33"/>
      <c r="J1183" s="33"/>
      <c r="K1183" s="33"/>
    </row>
    <row r="1184" spans="1:11" ht="15.75">
      <c r="A1184" s="33" t="s">
        <v>524</v>
      </c>
      <c r="B1184" s="33" t="s">
        <v>2619</v>
      </c>
      <c r="C1184" s="33" t="s">
        <v>523</v>
      </c>
      <c r="D1184" s="33"/>
      <c r="E1184" s="33"/>
      <c r="F1184" s="33"/>
      <c r="G1184" s="33"/>
      <c r="H1184" s="33"/>
      <c r="I1184" s="33"/>
      <c r="J1184" s="33"/>
      <c r="K1184" s="33"/>
    </row>
    <row r="1185" spans="1:11" ht="15.75">
      <c r="A1185" s="33" t="s">
        <v>527</v>
      </c>
      <c r="B1185" s="33" t="s">
        <v>2619</v>
      </c>
      <c r="C1185" s="33" t="s">
        <v>526</v>
      </c>
      <c r="D1185" s="33"/>
      <c r="E1185" s="33"/>
      <c r="F1185" s="33"/>
      <c r="G1185" s="33"/>
      <c r="H1185" s="33"/>
      <c r="I1185" s="33"/>
      <c r="J1185" s="33"/>
      <c r="K1185" s="33"/>
    </row>
    <row r="1186" spans="1:11" ht="15.75">
      <c r="A1186" s="33" t="s">
        <v>530</v>
      </c>
      <c r="B1186" s="33" t="s">
        <v>2619</v>
      </c>
      <c r="C1186" s="33" t="s">
        <v>529</v>
      </c>
      <c r="D1186" s="33"/>
      <c r="E1186" s="33"/>
      <c r="F1186" s="33"/>
      <c r="G1186" s="33"/>
      <c r="H1186" s="33"/>
      <c r="I1186" s="33"/>
      <c r="J1186" s="33"/>
      <c r="K1186" s="33"/>
    </row>
    <row r="1187" spans="1:11" ht="15.75">
      <c r="A1187" s="33" t="s">
        <v>533</v>
      </c>
      <c r="B1187" s="33" t="s">
        <v>2619</v>
      </c>
      <c r="C1187" s="33" t="s">
        <v>532</v>
      </c>
      <c r="D1187" s="33"/>
      <c r="E1187" s="33"/>
      <c r="F1187" s="33"/>
      <c r="G1187" s="33"/>
      <c r="H1187" s="33"/>
      <c r="I1187" s="33"/>
      <c r="J1187" s="33"/>
      <c r="K1187" s="33"/>
    </row>
    <row r="1188" spans="1:11" ht="15.75">
      <c r="A1188" s="33" t="s">
        <v>536</v>
      </c>
      <c r="B1188" s="33" t="s">
        <v>2619</v>
      </c>
      <c r="C1188" s="33" t="s">
        <v>535</v>
      </c>
      <c r="D1188" s="33"/>
      <c r="E1188" s="33"/>
      <c r="F1188" s="33"/>
      <c r="G1188" s="33"/>
      <c r="H1188" s="33"/>
      <c r="I1188" s="33"/>
      <c r="J1188" s="33"/>
      <c r="K1188" s="33"/>
    </row>
    <row r="1189" spans="1:11" ht="15.75">
      <c r="A1189" s="33" t="s">
        <v>539</v>
      </c>
      <c r="B1189" s="33" t="s">
        <v>2619</v>
      </c>
      <c r="C1189" s="33" t="s">
        <v>538</v>
      </c>
      <c r="D1189" s="33"/>
      <c r="E1189" s="33"/>
      <c r="F1189" s="33"/>
      <c r="G1189" s="33"/>
      <c r="H1189" s="33"/>
      <c r="I1189" s="33"/>
      <c r="J1189" s="33"/>
      <c r="K1189" s="33"/>
    </row>
    <row r="1190" spans="1:11" ht="15.75">
      <c r="A1190" s="33" t="s">
        <v>542</v>
      </c>
      <c r="B1190" s="33" t="s">
        <v>2619</v>
      </c>
      <c r="C1190" s="33" t="s">
        <v>541</v>
      </c>
      <c r="D1190" s="33"/>
      <c r="E1190" s="33"/>
      <c r="F1190" s="33"/>
      <c r="G1190" s="33"/>
      <c r="H1190" s="33"/>
      <c r="I1190" s="33"/>
      <c r="J1190" s="33"/>
      <c r="K1190" s="33"/>
    </row>
    <row r="1191" spans="1:11" ht="15.75">
      <c r="A1191" s="33" t="s">
        <v>545</v>
      </c>
      <c r="B1191" s="33" t="s">
        <v>2619</v>
      </c>
      <c r="C1191" s="33" t="s">
        <v>544</v>
      </c>
      <c r="D1191" s="33"/>
      <c r="E1191" s="33"/>
      <c r="F1191" s="33"/>
      <c r="G1191" s="33"/>
      <c r="H1191" s="33"/>
      <c r="I1191" s="33"/>
      <c r="J1191" s="33"/>
      <c r="K1191" s="33"/>
    </row>
    <row r="1192" spans="1:11" ht="15.75">
      <c r="A1192" s="33" t="s">
        <v>548</v>
      </c>
      <c r="B1192" s="33" t="s">
        <v>2619</v>
      </c>
      <c r="C1192" s="33" t="s">
        <v>547</v>
      </c>
      <c r="D1192" s="33"/>
      <c r="E1192" s="33"/>
      <c r="F1192" s="33"/>
      <c r="G1192" s="33"/>
      <c r="H1192" s="33"/>
      <c r="I1192" s="33"/>
      <c r="J1192" s="33"/>
      <c r="K1192" s="33"/>
    </row>
    <row r="1193" spans="1:11" ht="15.75">
      <c r="A1193" s="33" t="s">
        <v>551</v>
      </c>
      <c r="B1193" s="33" t="s">
        <v>2619</v>
      </c>
      <c r="C1193" s="33" t="s">
        <v>550</v>
      </c>
      <c r="D1193" s="33"/>
      <c r="E1193" s="33"/>
      <c r="F1193" s="33"/>
      <c r="G1193" s="33"/>
      <c r="H1193" s="33"/>
      <c r="I1193" s="33"/>
      <c r="J1193" s="33"/>
      <c r="K1193" s="33"/>
    </row>
    <row r="1194" spans="1:11" ht="15.75">
      <c r="A1194" s="33" t="s">
        <v>554</v>
      </c>
      <c r="B1194" s="33" t="s">
        <v>2619</v>
      </c>
      <c r="C1194" s="33" t="s">
        <v>553</v>
      </c>
      <c r="D1194" s="33"/>
      <c r="E1194" s="33"/>
      <c r="F1194" s="33"/>
      <c r="G1194" s="33"/>
      <c r="H1194" s="33"/>
      <c r="I1194" s="33"/>
      <c r="J1194" s="33"/>
      <c r="K1194" s="33"/>
    </row>
    <row r="1195" spans="1:11" ht="15.75">
      <c r="A1195" s="33" t="s">
        <v>557</v>
      </c>
      <c r="B1195" s="33" t="s">
        <v>2619</v>
      </c>
      <c r="C1195" s="33" t="s">
        <v>556</v>
      </c>
      <c r="D1195" s="33"/>
      <c r="E1195" s="33"/>
      <c r="F1195" s="33"/>
      <c r="G1195" s="33"/>
      <c r="H1195" s="33"/>
      <c r="I1195" s="33"/>
      <c r="J1195" s="33"/>
      <c r="K1195" s="33"/>
    </row>
    <row r="1196" spans="1:11" ht="15.75">
      <c r="A1196" s="33" t="s">
        <v>560</v>
      </c>
      <c r="B1196" s="33" t="s">
        <v>2619</v>
      </c>
      <c r="C1196" s="33" t="s">
        <v>559</v>
      </c>
      <c r="D1196" s="33"/>
      <c r="E1196" s="33"/>
      <c r="F1196" s="33"/>
      <c r="G1196" s="33"/>
      <c r="H1196" s="33"/>
      <c r="I1196" s="33"/>
      <c r="J1196" s="33"/>
      <c r="K1196" s="33"/>
    </row>
    <row r="1197" spans="1:11" ht="15.75">
      <c r="A1197" s="33" t="s">
        <v>563</v>
      </c>
      <c r="B1197" s="33" t="s">
        <v>2619</v>
      </c>
      <c r="C1197" s="33" t="s">
        <v>562</v>
      </c>
      <c r="D1197" s="33"/>
      <c r="E1197" s="33"/>
      <c r="F1197" s="33"/>
      <c r="G1197" s="33"/>
      <c r="H1197" s="33"/>
      <c r="I1197" s="33"/>
      <c r="J1197" s="33"/>
      <c r="K1197" s="33"/>
    </row>
    <row r="1198" spans="1:11" ht="15.75">
      <c r="A1198" s="33" t="s">
        <v>566</v>
      </c>
      <c r="B1198" s="33" t="s">
        <v>2619</v>
      </c>
      <c r="C1198" s="33" t="s">
        <v>565</v>
      </c>
      <c r="D1198" s="33"/>
      <c r="E1198" s="33"/>
      <c r="F1198" s="33"/>
      <c r="G1198" s="33"/>
      <c r="H1198" s="33"/>
      <c r="I1198" s="33"/>
      <c r="J1198" s="33"/>
      <c r="K1198" s="33"/>
    </row>
    <row r="1199" spans="1:11" ht="15.75">
      <c r="A1199" s="33" t="s">
        <v>569</v>
      </c>
      <c r="B1199" s="33" t="s">
        <v>2619</v>
      </c>
      <c r="C1199" s="33" t="s">
        <v>568</v>
      </c>
      <c r="D1199" s="33"/>
      <c r="E1199" s="33"/>
      <c r="F1199" s="33"/>
      <c r="G1199" s="33"/>
      <c r="H1199" s="33"/>
      <c r="I1199" s="33"/>
      <c r="J1199" s="33"/>
      <c r="K1199" s="33"/>
    </row>
    <row r="1200" spans="1:11" ht="15.75">
      <c r="A1200" s="33" t="s">
        <v>572</v>
      </c>
      <c r="B1200" s="33" t="s">
        <v>2619</v>
      </c>
      <c r="C1200" s="33" t="s">
        <v>571</v>
      </c>
      <c r="D1200" s="33"/>
      <c r="E1200" s="33"/>
      <c r="F1200" s="33"/>
      <c r="G1200" s="33"/>
      <c r="H1200" s="33"/>
      <c r="I1200" s="33"/>
      <c r="J1200" s="33"/>
      <c r="K1200" s="33"/>
    </row>
    <row r="1201" spans="1:11" ht="15.75">
      <c r="A1201" s="33" t="s">
        <v>575</v>
      </c>
      <c r="B1201" s="33" t="s">
        <v>2619</v>
      </c>
      <c r="C1201" s="33" t="s">
        <v>574</v>
      </c>
      <c r="D1201" s="33"/>
      <c r="E1201" s="33"/>
      <c r="F1201" s="33"/>
      <c r="G1201" s="33"/>
      <c r="H1201" s="33"/>
      <c r="I1201" s="33"/>
      <c r="J1201" s="33"/>
      <c r="K1201" s="33"/>
    </row>
    <row r="1202" spans="1:11" ht="15.75">
      <c r="A1202" s="33" t="s">
        <v>578</v>
      </c>
      <c r="B1202" s="33" t="s">
        <v>2619</v>
      </c>
      <c r="C1202" s="33" t="s">
        <v>577</v>
      </c>
      <c r="D1202" s="33"/>
      <c r="E1202" s="33"/>
      <c r="F1202" s="33"/>
      <c r="G1202" s="33"/>
      <c r="H1202" s="33"/>
      <c r="I1202" s="33"/>
      <c r="J1202" s="33"/>
      <c r="K1202" s="33"/>
    </row>
    <row r="1203" spans="1:11" ht="15.75">
      <c r="A1203" s="33" t="s">
        <v>581</v>
      </c>
      <c r="B1203" s="33" t="s">
        <v>2619</v>
      </c>
      <c r="C1203" s="33" t="s">
        <v>580</v>
      </c>
      <c r="D1203" s="33"/>
      <c r="E1203" s="33"/>
      <c r="F1203" s="33"/>
      <c r="G1203" s="33"/>
      <c r="H1203" s="33"/>
      <c r="I1203" s="33"/>
      <c r="J1203" s="33"/>
      <c r="K1203" s="33"/>
    </row>
    <row r="1204" spans="1:11" ht="15.75">
      <c r="A1204" s="33" t="s">
        <v>584</v>
      </c>
      <c r="B1204" s="33" t="s">
        <v>2619</v>
      </c>
      <c r="C1204" s="33" t="s">
        <v>583</v>
      </c>
      <c r="D1204" s="33"/>
      <c r="E1204" s="33"/>
      <c r="F1204" s="33"/>
      <c r="G1204" s="33"/>
      <c r="H1204" s="33"/>
      <c r="I1204" s="33"/>
      <c r="J1204" s="33"/>
      <c r="K1204" s="33"/>
    </row>
    <row r="1205" spans="1:11" ht="15.75">
      <c r="A1205" s="33" t="s">
        <v>587</v>
      </c>
      <c r="B1205" s="33" t="s">
        <v>2619</v>
      </c>
      <c r="C1205" s="33" t="s">
        <v>586</v>
      </c>
      <c r="D1205" s="33"/>
      <c r="E1205" s="33"/>
      <c r="F1205" s="33"/>
      <c r="G1205" s="33"/>
      <c r="H1205" s="33"/>
      <c r="I1205" s="33"/>
      <c r="J1205" s="33"/>
      <c r="K1205" s="33"/>
    </row>
    <row r="1206" spans="1:11" ht="15.75">
      <c r="A1206" s="33" t="s">
        <v>590</v>
      </c>
      <c r="B1206" s="33" t="s">
        <v>2619</v>
      </c>
      <c r="C1206" s="33" t="s">
        <v>589</v>
      </c>
      <c r="D1206" s="33"/>
      <c r="E1206" s="33"/>
      <c r="F1206" s="33"/>
      <c r="G1206" s="33"/>
      <c r="H1206" s="33"/>
      <c r="I1206" s="33"/>
      <c r="J1206" s="33"/>
      <c r="K1206" s="33"/>
    </row>
    <row r="1207" spans="1:11" ht="15.75">
      <c r="A1207" s="33" t="s">
        <v>593</v>
      </c>
      <c r="B1207" s="33" t="s">
        <v>2619</v>
      </c>
      <c r="C1207" s="33" t="s">
        <v>592</v>
      </c>
      <c r="D1207" s="33"/>
      <c r="E1207" s="33"/>
      <c r="F1207" s="33"/>
      <c r="G1207" s="33"/>
      <c r="H1207" s="33"/>
      <c r="I1207" s="33"/>
      <c r="J1207" s="33"/>
      <c r="K1207" s="33"/>
    </row>
    <row r="1208" spans="1:11" ht="15.75">
      <c r="A1208" s="33" t="s">
        <v>596</v>
      </c>
      <c r="B1208" s="33" t="s">
        <v>2619</v>
      </c>
      <c r="C1208" s="33" t="s">
        <v>595</v>
      </c>
      <c r="D1208" s="33"/>
      <c r="E1208" s="33"/>
      <c r="F1208" s="33"/>
      <c r="G1208" s="33"/>
      <c r="H1208" s="33"/>
      <c r="I1208" s="33"/>
      <c r="J1208" s="33"/>
      <c r="K1208" s="33"/>
    </row>
    <row r="1209" spans="1:11" ht="15.75">
      <c r="A1209" s="33" t="s">
        <v>599</v>
      </c>
      <c r="B1209" s="33" t="s">
        <v>2619</v>
      </c>
      <c r="C1209" s="33" t="s">
        <v>598</v>
      </c>
      <c r="D1209" s="33"/>
      <c r="E1209" s="33"/>
      <c r="F1209" s="33"/>
      <c r="G1209" s="33"/>
      <c r="H1209" s="33"/>
      <c r="I1209" s="33"/>
      <c r="J1209" s="33"/>
      <c r="K1209" s="33"/>
    </row>
    <row r="1210" spans="1:11" ht="15.75">
      <c r="A1210" s="33" t="s">
        <v>602</v>
      </c>
      <c r="B1210" s="33" t="s">
        <v>2619</v>
      </c>
      <c r="C1210" s="33" t="s">
        <v>601</v>
      </c>
      <c r="D1210" s="33"/>
      <c r="E1210" s="33"/>
      <c r="F1210" s="33"/>
      <c r="G1210" s="33"/>
      <c r="H1210" s="33"/>
      <c r="I1210" s="33"/>
      <c r="J1210" s="33"/>
      <c r="K1210" s="33"/>
    </row>
    <row r="1211" spans="1:11" ht="15.75">
      <c r="A1211" s="33" t="s">
        <v>605</v>
      </c>
      <c r="B1211" s="33" t="s">
        <v>2619</v>
      </c>
      <c r="C1211" s="33" t="s">
        <v>604</v>
      </c>
      <c r="D1211" s="33"/>
      <c r="E1211" s="33"/>
      <c r="F1211" s="33"/>
      <c r="G1211" s="33"/>
      <c r="H1211" s="33"/>
      <c r="I1211" s="33"/>
      <c r="J1211" s="33"/>
      <c r="K1211" s="33"/>
    </row>
    <row r="1212" spans="1:11" ht="15.75">
      <c r="A1212" s="33" t="s">
        <v>608</v>
      </c>
      <c r="B1212" s="33" t="s">
        <v>2619</v>
      </c>
      <c r="C1212" s="33" t="s">
        <v>607</v>
      </c>
      <c r="D1212" s="33"/>
      <c r="E1212" s="33"/>
      <c r="F1212" s="33"/>
      <c r="G1212" s="33"/>
      <c r="H1212" s="33"/>
      <c r="I1212" s="33"/>
      <c r="J1212" s="33"/>
      <c r="K1212" s="33"/>
    </row>
    <row r="1213" spans="1:11" ht="15.75">
      <c r="A1213" s="33" t="s">
        <v>611</v>
      </c>
      <c r="B1213" s="33" t="s">
        <v>2619</v>
      </c>
      <c r="C1213" s="33" t="s">
        <v>610</v>
      </c>
      <c r="D1213" s="33"/>
      <c r="E1213" s="33"/>
      <c r="F1213" s="33"/>
      <c r="G1213" s="33"/>
      <c r="H1213" s="33"/>
      <c r="I1213" s="33"/>
      <c r="J1213" s="33"/>
      <c r="K1213" s="33"/>
    </row>
    <row r="1214" spans="1:11" ht="15.75">
      <c r="A1214" s="33" t="s">
        <v>614</v>
      </c>
      <c r="B1214" s="33" t="s">
        <v>2619</v>
      </c>
      <c r="C1214" s="33" t="s">
        <v>613</v>
      </c>
      <c r="D1214" s="33"/>
      <c r="E1214" s="33"/>
      <c r="F1214" s="33"/>
      <c r="G1214" s="33"/>
      <c r="H1214" s="33"/>
      <c r="I1214" s="33"/>
      <c r="J1214" s="33"/>
      <c r="K1214" s="33"/>
    </row>
    <row r="1215" spans="1:11" ht="15.75">
      <c r="A1215" s="33" t="s">
        <v>617</v>
      </c>
      <c r="B1215" s="33" t="s">
        <v>2619</v>
      </c>
      <c r="C1215" s="33" t="s">
        <v>616</v>
      </c>
      <c r="D1215" s="33"/>
      <c r="E1215" s="33"/>
      <c r="F1215" s="33"/>
      <c r="G1215" s="33"/>
      <c r="H1215" s="33"/>
      <c r="I1215" s="33"/>
      <c r="J1215" s="33"/>
      <c r="K1215" s="33"/>
    </row>
    <row r="1216" spans="1:11" ht="15.75">
      <c r="A1216" s="33" t="s">
        <v>620</v>
      </c>
      <c r="B1216" s="33" t="s">
        <v>2619</v>
      </c>
      <c r="C1216" s="33" t="s">
        <v>619</v>
      </c>
      <c r="D1216" s="33"/>
      <c r="E1216" s="33"/>
      <c r="F1216" s="33"/>
      <c r="G1216" s="33"/>
      <c r="H1216" s="33"/>
      <c r="I1216" s="33"/>
      <c r="J1216" s="33"/>
      <c r="K1216" s="33"/>
    </row>
    <row r="1217" spans="1:11" ht="15.75">
      <c r="A1217" s="33" t="s">
        <v>623</v>
      </c>
      <c r="B1217" s="33" t="s">
        <v>2619</v>
      </c>
      <c r="C1217" s="33" t="s">
        <v>622</v>
      </c>
      <c r="D1217" s="33"/>
      <c r="E1217" s="33"/>
      <c r="F1217" s="33"/>
      <c r="G1217" s="33"/>
      <c r="H1217" s="33"/>
      <c r="I1217" s="33"/>
      <c r="J1217" s="33"/>
      <c r="K1217" s="33"/>
    </row>
    <row r="1218" spans="1:11" ht="15.75">
      <c r="A1218" s="33" t="s">
        <v>626</v>
      </c>
      <c r="B1218" s="33" t="s">
        <v>2619</v>
      </c>
      <c r="C1218" s="33" t="s">
        <v>625</v>
      </c>
      <c r="D1218" s="33"/>
      <c r="E1218" s="33"/>
      <c r="F1218" s="33"/>
      <c r="G1218" s="33"/>
      <c r="H1218" s="33"/>
      <c r="I1218" s="33"/>
      <c r="J1218" s="33"/>
      <c r="K1218" s="33"/>
    </row>
    <row r="1219" spans="1:11" ht="15.75">
      <c r="A1219" s="33" t="s">
        <v>629</v>
      </c>
      <c r="B1219" s="33" t="s">
        <v>2619</v>
      </c>
      <c r="C1219" s="33" t="s">
        <v>628</v>
      </c>
      <c r="D1219" s="33"/>
      <c r="E1219" s="33"/>
      <c r="F1219" s="33"/>
      <c r="G1219" s="33"/>
      <c r="H1219" s="33"/>
      <c r="I1219" s="33"/>
      <c r="J1219" s="33"/>
      <c r="K1219" s="33"/>
    </row>
    <row r="1220" spans="1:11" ht="15.75">
      <c r="A1220" s="33" t="s">
        <v>632</v>
      </c>
      <c r="B1220" s="33" t="s">
        <v>2619</v>
      </c>
      <c r="C1220" s="33" t="s">
        <v>631</v>
      </c>
      <c r="D1220" s="33"/>
      <c r="E1220" s="33"/>
      <c r="F1220" s="33"/>
      <c r="G1220" s="33"/>
      <c r="H1220" s="33"/>
      <c r="I1220" s="33"/>
      <c r="J1220" s="33"/>
      <c r="K1220" s="33"/>
    </row>
    <row r="1221" spans="1:11" ht="15.75">
      <c r="A1221" s="33" t="s">
        <v>635</v>
      </c>
      <c r="B1221" s="33" t="s">
        <v>2619</v>
      </c>
      <c r="C1221" s="33" t="s">
        <v>634</v>
      </c>
      <c r="D1221" s="33"/>
      <c r="E1221" s="33"/>
      <c r="F1221" s="33"/>
      <c r="G1221" s="33"/>
      <c r="H1221" s="33"/>
      <c r="I1221" s="33"/>
      <c r="J1221" s="33"/>
      <c r="K1221" s="33"/>
    </row>
    <row r="1222" spans="1:11" ht="15.75">
      <c r="A1222" s="33" t="s">
        <v>638</v>
      </c>
      <c r="B1222" s="33" t="s">
        <v>2619</v>
      </c>
      <c r="C1222" s="33" t="s">
        <v>637</v>
      </c>
      <c r="D1222" s="33"/>
      <c r="E1222" s="33"/>
      <c r="F1222" s="33"/>
      <c r="G1222" s="33"/>
      <c r="H1222" s="33"/>
      <c r="I1222" s="33"/>
      <c r="J1222" s="33"/>
      <c r="K1222" s="33"/>
    </row>
    <row r="1223" spans="1:11" ht="15.75">
      <c r="A1223" s="33" t="s">
        <v>641</v>
      </c>
      <c r="B1223" s="33" t="s">
        <v>2619</v>
      </c>
      <c r="C1223" s="33" t="s">
        <v>640</v>
      </c>
      <c r="D1223" s="33"/>
      <c r="E1223" s="33"/>
      <c r="F1223" s="33"/>
      <c r="G1223" s="33"/>
      <c r="H1223" s="33"/>
      <c r="I1223" s="33"/>
      <c r="J1223" s="33"/>
      <c r="K1223" s="33"/>
    </row>
    <row r="1224" spans="1:11" ht="15.75">
      <c r="A1224" s="33" t="s">
        <v>644</v>
      </c>
      <c r="B1224" s="33" t="s">
        <v>2619</v>
      </c>
      <c r="C1224" s="33" t="s">
        <v>643</v>
      </c>
      <c r="D1224" s="33"/>
      <c r="E1224" s="33"/>
      <c r="F1224" s="33"/>
      <c r="G1224" s="33"/>
      <c r="H1224" s="33"/>
      <c r="I1224" s="33"/>
      <c r="J1224" s="33"/>
      <c r="K1224" s="33"/>
    </row>
    <row r="1225" spans="1:11" ht="15.75">
      <c r="A1225" s="33" t="s">
        <v>647</v>
      </c>
      <c r="B1225" s="33" t="s">
        <v>2619</v>
      </c>
      <c r="C1225" s="33" t="s">
        <v>646</v>
      </c>
      <c r="D1225" s="33"/>
      <c r="E1225" s="33"/>
      <c r="F1225" s="33"/>
      <c r="G1225" s="33"/>
      <c r="H1225" s="33"/>
      <c r="I1225" s="33"/>
      <c r="J1225" s="33"/>
      <c r="K1225" s="33"/>
    </row>
    <row r="1226" spans="1:11" ht="15.75">
      <c r="A1226" s="33" t="s">
        <v>650</v>
      </c>
      <c r="B1226" s="33" t="s">
        <v>2619</v>
      </c>
      <c r="C1226" s="33" t="s">
        <v>649</v>
      </c>
      <c r="D1226" s="33"/>
      <c r="E1226" s="33"/>
      <c r="F1226" s="33"/>
      <c r="G1226" s="33"/>
      <c r="H1226" s="33"/>
      <c r="I1226" s="33"/>
      <c r="J1226" s="33"/>
      <c r="K1226" s="33"/>
    </row>
    <row r="1227" spans="1:11" ht="15.75">
      <c r="A1227" s="33" t="s">
        <v>653</v>
      </c>
      <c r="B1227" s="33" t="s">
        <v>2619</v>
      </c>
      <c r="C1227" s="33" t="s">
        <v>652</v>
      </c>
      <c r="D1227" s="33"/>
      <c r="E1227" s="33"/>
      <c r="F1227" s="33"/>
      <c r="G1227" s="33"/>
      <c r="H1227" s="33"/>
      <c r="I1227" s="33"/>
      <c r="J1227" s="33"/>
      <c r="K1227" s="33"/>
    </row>
    <row r="1228" spans="1:11" ht="15.75">
      <c r="A1228" s="33" t="s">
        <v>656</v>
      </c>
      <c r="B1228" s="33" t="s">
        <v>2619</v>
      </c>
      <c r="C1228" s="33" t="s">
        <v>655</v>
      </c>
      <c r="D1228" s="33"/>
      <c r="E1228" s="33"/>
      <c r="F1228" s="33"/>
      <c r="G1228" s="33"/>
      <c r="H1228" s="33"/>
      <c r="I1228" s="33"/>
      <c r="J1228" s="33"/>
      <c r="K1228" s="33"/>
    </row>
    <row r="1229" spans="1:11" ht="15.75">
      <c r="A1229" s="33" t="s">
        <v>659</v>
      </c>
      <c r="B1229" s="33" t="s">
        <v>2619</v>
      </c>
      <c r="C1229" s="33" t="s">
        <v>658</v>
      </c>
      <c r="D1229" s="33"/>
      <c r="E1229" s="33"/>
      <c r="F1229" s="33"/>
      <c r="G1229" s="33"/>
      <c r="H1229" s="33"/>
      <c r="I1229" s="33"/>
      <c r="J1229" s="33"/>
      <c r="K1229" s="33"/>
    </row>
    <row r="1230" spans="1:11" ht="15.75">
      <c r="A1230" s="33" t="s">
        <v>662</v>
      </c>
      <c r="B1230" s="33" t="s">
        <v>2619</v>
      </c>
      <c r="C1230" s="33" t="s">
        <v>661</v>
      </c>
      <c r="D1230" s="33"/>
      <c r="E1230" s="33"/>
      <c r="F1230" s="33"/>
      <c r="G1230" s="33"/>
      <c r="H1230" s="33"/>
      <c r="I1230" s="33"/>
      <c r="J1230" s="33"/>
      <c r="K1230" s="33"/>
    </row>
    <row r="1231" spans="1:11" ht="15.75">
      <c r="A1231" s="33" t="s">
        <v>665</v>
      </c>
      <c r="B1231" s="33" t="s">
        <v>2619</v>
      </c>
      <c r="C1231" s="33" t="s">
        <v>664</v>
      </c>
      <c r="D1231" s="33"/>
      <c r="E1231" s="33"/>
      <c r="F1231" s="33"/>
      <c r="G1231" s="33"/>
      <c r="H1231" s="33"/>
      <c r="I1231" s="33"/>
      <c r="J1231" s="33"/>
      <c r="K1231" s="33"/>
    </row>
    <row r="1232" spans="1:11" ht="15.75">
      <c r="A1232" s="33" t="s">
        <v>668</v>
      </c>
      <c r="B1232" s="33" t="s">
        <v>2619</v>
      </c>
      <c r="C1232" s="33" t="s">
        <v>667</v>
      </c>
      <c r="D1232" s="33"/>
      <c r="E1232" s="33"/>
      <c r="F1232" s="33"/>
      <c r="G1232" s="33"/>
      <c r="H1232" s="33"/>
      <c r="I1232" s="33"/>
      <c r="J1232" s="33"/>
      <c r="K1232" s="33"/>
    </row>
    <row r="1233" spans="1:11" ht="15.75">
      <c r="A1233" s="33" t="s">
        <v>671</v>
      </c>
      <c r="B1233" s="33" t="s">
        <v>2619</v>
      </c>
      <c r="C1233" s="33" t="s">
        <v>670</v>
      </c>
      <c r="D1233" s="33"/>
      <c r="E1233" s="33"/>
      <c r="F1233" s="33"/>
      <c r="G1233" s="33"/>
      <c r="H1233" s="33"/>
      <c r="I1233" s="33"/>
      <c r="J1233" s="33"/>
      <c r="K1233" s="33"/>
    </row>
    <row r="1234" spans="1:11" ht="15.75">
      <c r="A1234" s="33" t="s">
        <v>674</v>
      </c>
      <c r="B1234" s="33" t="s">
        <v>2619</v>
      </c>
      <c r="C1234" s="33" t="s">
        <v>673</v>
      </c>
      <c r="D1234" s="33"/>
      <c r="E1234" s="33"/>
      <c r="F1234" s="33"/>
      <c r="G1234" s="33"/>
      <c r="H1234" s="33"/>
      <c r="I1234" s="33"/>
      <c r="J1234" s="33"/>
      <c r="K1234" s="33"/>
    </row>
    <row r="1235" spans="1:11" ht="15.75">
      <c r="A1235" s="33" t="s">
        <v>677</v>
      </c>
      <c r="B1235" s="33" t="s">
        <v>2619</v>
      </c>
      <c r="C1235" s="33" t="s">
        <v>676</v>
      </c>
      <c r="D1235" s="33"/>
      <c r="E1235" s="33"/>
      <c r="F1235" s="33"/>
      <c r="G1235" s="33"/>
      <c r="H1235" s="33"/>
      <c r="I1235" s="33"/>
      <c r="J1235" s="33"/>
      <c r="K1235" s="33"/>
    </row>
    <row r="1236" spans="1:11" ht="15.75">
      <c r="A1236" s="33" t="s">
        <v>680</v>
      </c>
      <c r="B1236" s="33" t="s">
        <v>2619</v>
      </c>
      <c r="C1236" s="33" t="s">
        <v>679</v>
      </c>
      <c r="D1236" s="33"/>
      <c r="E1236" s="33"/>
      <c r="F1236" s="33"/>
      <c r="G1236" s="33"/>
      <c r="H1236" s="33"/>
      <c r="I1236" s="33"/>
      <c r="J1236" s="33"/>
      <c r="K1236" s="33"/>
    </row>
    <row r="1237" spans="1:11" ht="15.75">
      <c r="A1237" s="33" t="s">
        <v>683</v>
      </c>
      <c r="B1237" s="33" t="s">
        <v>2619</v>
      </c>
      <c r="C1237" s="33" t="s">
        <v>682</v>
      </c>
      <c r="D1237" s="33"/>
      <c r="E1237" s="33"/>
      <c r="F1237" s="33"/>
      <c r="G1237" s="33"/>
      <c r="H1237" s="33"/>
      <c r="I1237" s="33"/>
      <c r="J1237" s="33"/>
      <c r="K1237" s="33"/>
    </row>
    <row r="1238" spans="1:11" ht="15.75">
      <c r="A1238" s="33" t="s">
        <v>686</v>
      </c>
      <c r="B1238" s="33" t="s">
        <v>2619</v>
      </c>
      <c r="C1238" s="33" t="s">
        <v>685</v>
      </c>
      <c r="D1238" s="33"/>
      <c r="E1238" s="33"/>
      <c r="F1238" s="33"/>
      <c r="G1238" s="33"/>
      <c r="H1238" s="33"/>
      <c r="I1238" s="33"/>
      <c r="J1238" s="33"/>
      <c r="K1238" s="33"/>
    </row>
    <row r="1239" spans="1:11" ht="15.75">
      <c r="A1239" s="33" t="s">
        <v>689</v>
      </c>
      <c r="B1239" s="33" t="s">
        <v>2619</v>
      </c>
      <c r="C1239" s="33" t="s">
        <v>688</v>
      </c>
      <c r="D1239" s="33"/>
      <c r="E1239" s="33"/>
      <c r="F1239" s="33"/>
      <c r="G1239" s="33"/>
      <c r="H1239" s="33"/>
      <c r="I1239" s="33"/>
      <c r="J1239" s="33"/>
      <c r="K1239" s="33"/>
    </row>
    <row r="1240" spans="1:11" ht="15.75">
      <c r="A1240" s="33" t="s">
        <v>692</v>
      </c>
      <c r="B1240" s="33" t="s">
        <v>2619</v>
      </c>
      <c r="C1240" s="33" t="s">
        <v>691</v>
      </c>
      <c r="D1240" s="33"/>
      <c r="E1240" s="33"/>
      <c r="F1240" s="33"/>
      <c r="G1240" s="33"/>
      <c r="H1240" s="33"/>
      <c r="I1240" s="33"/>
      <c r="J1240" s="33"/>
      <c r="K1240" s="33"/>
    </row>
    <row r="1241" spans="1:11" ht="15.75">
      <c r="A1241" s="33" t="s">
        <v>695</v>
      </c>
      <c r="B1241" s="33" t="s">
        <v>2619</v>
      </c>
      <c r="C1241" s="33" t="s">
        <v>694</v>
      </c>
      <c r="D1241" s="33"/>
      <c r="E1241" s="33"/>
      <c r="F1241" s="33"/>
      <c r="G1241" s="33"/>
      <c r="H1241" s="33"/>
      <c r="I1241" s="33"/>
      <c r="J1241" s="33"/>
      <c r="K1241" s="33"/>
    </row>
    <row r="1242" spans="1:11" ht="15.75">
      <c r="A1242" s="33" t="s">
        <v>698</v>
      </c>
      <c r="B1242" s="33" t="s">
        <v>2619</v>
      </c>
      <c r="C1242" s="33" t="s">
        <v>697</v>
      </c>
      <c r="D1242" s="33"/>
      <c r="E1242" s="33"/>
      <c r="F1242" s="33"/>
      <c r="G1242" s="33"/>
      <c r="H1242" s="33"/>
      <c r="I1242" s="33"/>
      <c r="J1242" s="33"/>
      <c r="K1242" s="33"/>
    </row>
    <row r="1243" spans="1:11" ht="15.75">
      <c r="A1243" s="33" t="s">
        <v>701</v>
      </c>
      <c r="B1243" s="33" t="s">
        <v>2619</v>
      </c>
      <c r="C1243" s="33" t="s">
        <v>700</v>
      </c>
      <c r="D1243" s="33"/>
      <c r="E1243" s="33"/>
      <c r="F1243" s="33"/>
      <c r="G1243" s="33"/>
      <c r="H1243" s="33"/>
      <c r="I1243" s="33"/>
      <c r="J1243" s="33"/>
      <c r="K1243" s="33"/>
    </row>
    <row r="1244" spans="1:11" ht="15.75">
      <c r="A1244" s="33" t="s">
        <v>704</v>
      </c>
      <c r="B1244" s="33" t="s">
        <v>2619</v>
      </c>
      <c r="C1244" s="33" t="s">
        <v>703</v>
      </c>
      <c r="D1244" s="33"/>
      <c r="E1244" s="33"/>
      <c r="F1244" s="33"/>
      <c r="G1244" s="33"/>
      <c r="H1244" s="33"/>
      <c r="I1244" s="33"/>
      <c r="J1244" s="33"/>
      <c r="K1244" s="33"/>
    </row>
    <row r="1245" spans="1:11" ht="15.75">
      <c r="A1245" s="33" t="s">
        <v>707</v>
      </c>
      <c r="B1245" s="33" t="s">
        <v>2619</v>
      </c>
      <c r="C1245" s="33" t="s">
        <v>706</v>
      </c>
      <c r="D1245" s="33"/>
      <c r="E1245" s="33"/>
      <c r="F1245" s="33"/>
      <c r="G1245" s="33"/>
      <c r="H1245" s="33"/>
      <c r="I1245" s="33"/>
      <c r="J1245" s="33"/>
      <c r="K1245" s="33"/>
    </row>
    <row r="1246" spans="1:11" ht="15.75">
      <c r="A1246" s="33" t="s">
        <v>710</v>
      </c>
      <c r="B1246" s="33" t="s">
        <v>2619</v>
      </c>
      <c r="C1246" s="33" t="s">
        <v>709</v>
      </c>
      <c r="D1246" s="33"/>
      <c r="E1246" s="33"/>
      <c r="F1246" s="33"/>
      <c r="G1246" s="33"/>
      <c r="H1246" s="33"/>
      <c r="I1246" s="33"/>
      <c r="J1246" s="33"/>
      <c r="K1246" s="33"/>
    </row>
    <row r="1247" spans="1:11" ht="15.75">
      <c r="A1247" s="33" t="s">
        <v>713</v>
      </c>
      <c r="B1247" s="33" t="s">
        <v>2619</v>
      </c>
      <c r="C1247" s="33" t="s">
        <v>712</v>
      </c>
      <c r="D1247" s="33"/>
      <c r="E1247" s="33"/>
      <c r="F1247" s="33"/>
      <c r="G1247" s="33"/>
      <c r="H1247" s="33"/>
      <c r="I1247" s="33"/>
      <c r="J1247" s="33"/>
      <c r="K1247" s="33"/>
    </row>
    <row r="1248" spans="1:11" ht="15.75">
      <c r="A1248" s="33" t="s">
        <v>716</v>
      </c>
      <c r="B1248" s="33" t="s">
        <v>2619</v>
      </c>
      <c r="C1248" s="33" t="s">
        <v>715</v>
      </c>
      <c r="D1248" s="33"/>
      <c r="E1248" s="33"/>
      <c r="F1248" s="33"/>
      <c r="G1248" s="33"/>
      <c r="H1248" s="33"/>
      <c r="I1248" s="33"/>
      <c r="J1248" s="33"/>
      <c r="K1248" s="33"/>
    </row>
    <row r="1249" spans="1:11" ht="15.75">
      <c r="A1249" s="33" t="s">
        <v>719</v>
      </c>
      <c r="B1249" s="33" t="s">
        <v>2619</v>
      </c>
      <c r="C1249" s="33" t="s">
        <v>718</v>
      </c>
      <c r="D1249" s="33"/>
      <c r="E1249" s="33"/>
      <c r="F1249" s="33"/>
      <c r="G1249" s="33"/>
      <c r="H1249" s="33"/>
      <c r="I1249" s="33"/>
      <c r="J1249" s="33"/>
      <c r="K1249" s="33"/>
    </row>
    <row r="1250" spans="1:11" ht="15.75">
      <c r="A1250" s="33" t="s">
        <v>722</v>
      </c>
      <c r="B1250" s="33" t="s">
        <v>2619</v>
      </c>
      <c r="C1250" s="33" t="s">
        <v>721</v>
      </c>
      <c r="D1250" s="33"/>
      <c r="E1250" s="33"/>
      <c r="F1250" s="33"/>
      <c r="G1250" s="33"/>
      <c r="H1250" s="33"/>
      <c r="I1250" s="33"/>
      <c r="J1250" s="33"/>
      <c r="K1250" s="33"/>
    </row>
    <row r="1251" spans="1:11" ht="15.75">
      <c r="A1251" s="33" t="s">
        <v>725</v>
      </c>
      <c r="B1251" s="33" t="s">
        <v>2619</v>
      </c>
      <c r="C1251" s="33" t="s">
        <v>724</v>
      </c>
      <c r="D1251" s="33"/>
      <c r="E1251" s="33"/>
      <c r="F1251" s="33"/>
      <c r="G1251" s="33"/>
      <c r="H1251" s="33"/>
      <c r="I1251" s="33"/>
      <c r="J1251" s="33"/>
      <c r="K1251" s="33"/>
    </row>
    <row r="1252" spans="1:11" ht="15.75">
      <c r="A1252" s="33" t="s">
        <v>728</v>
      </c>
      <c r="B1252" s="33" t="s">
        <v>2619</v>
      </c>
      <c r="C1252" s="33" t="s">
        <v>727</v>
      </c>
      <c r="D1252" s="33"/>
      <c r="E1252" s="33"/>
      <c r="F1252" s="33"/>
      <c r="G1252" s="33"/>
      <c r="H1252" s="33"/>
      <c r="I1252" s="33"/>
      <c r="J1252" s="33"/>
      <c r="K1252" s="33"/>
    </row>
    <row r="1253" spans="1:11" ht="15.75">
      <c r="A1253" s="33" t="s">
        <v>731</v>
      </c>
      <c r="B1253" s="33" t="s">
        <v>2619</v>
      </c>
      <c r="C1253" s="33" t="s">
        <v>730</v>
      </c>
      <c r="D1253" s="33"/>
      <c r="E1253" s="33"/>
      <c r="F1253" s="33"/>
      <c r="G1253" s="33"/>
      <c r="H1253" s="33"/>
      <c r="I1253" s="33"/>
      <c r="J1253" s="33"/>
      <c r="K1253" s="33"/>
    </row>
    <row r="1254" spans="1:11" ht="15.75">
      <c r="A1254" s="33" t="s">
        <v>734</v>
      </c>
      <c r="B1254" s="33" t="s">
        <v>2619</v>
      </c>
      <c r="C1254" s="33" t="s">
        <v>733</v>
      </c>
      <c r="D1254" s="33"/>
      <c r="E1254" s="33"/>
      <c r="F1254" s="33"/>
      <c r="G1254" s="33"/>
      <c r="H1254" s="33"/>
      <c r="I1254" s="33"/>
      <c r="J1254" s="33"/>
      <c r="K1254" s="33"/>
    </row>
    <row r="1255" spans="1:11" ht="15.75">
      <c r="A1255" s="33" t="s">
        <v>737</v>
      </c>
      <c r="B1255" s="33" t="s">
        <v>2619</v>
      </c>
      <c r="C1255" s="33" t="s">
        <v>736</v>
      </c>
      <c r="D1255" s="33"/>
      <c r="E1255" s="33"/>
      <c r="F1255" s="33"/>
      <c r="G1255" s="33"/>
      <c r="H1255" s="33"/>
      <c r="I1255" s="33"/>
      <c r="J1255" s="33"/>
      <c r="K1255" s="33"/>
    </row>
    <row r="1256" spans="1:11" ht="15.75">
      <c r="A1256" s="33" t="s">
        <v>740</v>
      </c>
      <c r="B1256" s="33" t="s">
        <v>2619</v>
      </c>
      <c r="C1256" s="33" t="s">
        <v>739</v>
      </c>
      <c r="D1256" s="33"/>
      <c r="E1256" s="33"/>
      <c r="F1256" s="33"/>
      <c r="G1256" s="33"/>
      <c r="H1256" s="33"/>
      <c r="I1256" s="33"/>
      <c r="J1256" s="33"/>
      <c r="K1256" s="33"/>
    </row>
    <row r="1257" spans="1:11" ht="15.75">
      <c r="A1257" s="33" t="s">
        <v>743</v>
      </c>
      <c r="B1257" s="33" t="s">
        <v>2619</v>
      </c>
      <c r="C1257" s="33" t="s">
        <v>742</v>
      </c>
      <c r="D1257" s="33"/>
      <c r="E1257" s="33"/>
      <c r="F1257" s="33"/>
      <c r="G1257" s="33"/>
      <c r="H1257" s="33"/>
      <c r="I1257" s="33"/>
      <c r="J1257" s="33"/>
      <c r="K1257" s="33"/>
    </row>
    <row r="1258" spans="1:11" ht="15.75">
      <c r="A1258" s="33" t="s">
        <v>746</v>
      </c>
      <c r="B1258" s="33" t="s">
        <v>2619</v>
      </c>
      <c r="C1258" s="33" t="s">
        <v>745</v>
      </c>
      <c r="D1258" s="33"/>
      <c r="E1258" s="33"/>
      <c r="F1258" s="33"/>
      <c r="G1258" s="33"/>
      <c r="H1258" s="33"/>
      <c r="I1258" s="33"/>
      <c r="J1258" s="33"/>
      <c r="K1258" s="33"/>
    </row>
    <row r="1259" spans="1:11" ht="15.75">
      <c r="A1259" s="33" t="s">
        <v>749</v>
      </c>
      <c r="B1259" s="33" t="s">
        <v>2619</v>
      </c>
      <c r="C1259" s="33" t="s">
        <v>748</v>
      </c>
      <c r="D1259" s="33"/>
      <c r="E1259" s="33"/>
      <c r="F1259" s="33"/>
      <c r="G1259" s="33"/>
      <c r="H1259" s="33"/>
      <c r="I1259" s="33"/>
      <c r="J1259" s="33"/>
      <c r="K1259" s="33"/>
    </row>
    <row r="1260" spans="1:11" ht="15.75">
      <c r="A1260" s="33" t="s">
        <v>752</v>
      </c>
      <c r="B1260" s="33" t="s">
        <v>2619</v>
      </c>
      <c r="C1260" s="33" t="s">
        <v>751</v>
      </c>
      <c r="D1260" s="33"/>
      <c r="E1260" s="33"/>
      <c r="F1260" s="33"/>
      <c r="G1260" s="33"/>
      <c r="H1260" s="33"/>
      <c r="I1260" s="33"/>
      <c r="J1260" s="33"/>
      <c r="K1260" s="33"/>
    </row>
    <row r="1261" spans="1:11" ht="15.75">
      <c r="A1261" s="33" t="s">
        <v>755</v>
      </c>
      <c r="B1261" s="33" t="s">
        <v>2619</v>
      </c>
      <c r="C1261" s="33" t="s">
        <v>754</v>
      </c>
      <c r="D1261" s="33"/>
      <c r="E1261" s="33"/>
      <c r="F1261" s="33"/>
      <c r="G1261" s="33"/>
      <c r="H1261" s="33"/>
      <c r="I1261" s="33"/>
      <c r="J1261" s="33"/>
      <c r="K1261" s="33"/>
    </row>
    <row r="1262" spans="1:11" ht="15.75">
      <c r="A1262" s="33" t="s">
        <v>758</v>
      </c>
      <c r="B1262" s="33" t="s">
        <v>2619</v>
      </c>
      <c r="C1262" s="33" t="s">
        <v>757</v>
      </c>
      <c r="D1262" s="33"/>
      <c r="E1262" s="33"/>
      <c r="F1262" s="33"/>
      <c r="G1262" s="33"/>
      <c r="H1262" s="33"/>
      <c r="I1262" s="33"/>
      <c r="J1262" s="33"/>
      <c r="K1262" s="33"/>
    </row>
    <row r="1263" spans="1:11" ht="15.75">
      <c r="A1263" s="33" t="s">
        <v>761</v>
      </c>
      <c r="B1263" s="33" t="s">
        <v>2619</v>
      </c>
      <c r="C1263" s="33" t="s">
        <v>760</v>
      </c>
      <c r="D1263" s="33"/>
      <c r="E1263" s="33"/>
      <c r="F1263" s="33"/>
      <c r="G1263" s="33"/>
      <c r="H1263" s="33"/>
      <c r="I1263" s="33"/>
      <c r="J1263" s="33"/>
      <c r="K1263" s="33"/>
    </row>
    <row r="1264" spans="1:11" ht="15.75">
      <c r="A1264" s="33" t="s">
        <v>764</v>
      </c>
      <c r="B1264" s="33" t="s">
        <v>2619</v>
      </c>
      <c r="C1264" s="33" t="s">
        <v>763</v>
      </c>
      <c r="D1264" s="33"/>
      <c r="E1264" s="33"/>
      <c r="F1264" s="33"/>
      <c r="G1264" s="33"/>
      <c r="H1264" s="33"/>
      <c r="I1264" s="33"/>
      <c r="J1264" s="33"/>
      <c r="K1264" s="33"/>
    </row>
    <row r="1265" spans="1:11" ht="15.75">
      <c r="A1265" s="33" t="s">
        <v>767</v>
      </c>
      <c r="B1265" s="33" t="s">
        <v>2619</v>
      </c>
      <c r="C1265" s="33" t="s">
        <v>766</v>
      </c>
      <c r="D1265" s="33"/>
      <c r="E1265" s="33"/>
      <c r="F1265" s="33"/>
      <c r="G1265" s="33"/>
      <c r="H1265" s="33"/>
      <c r="I1265" s="33"/>
      <c r="J1265" s="33"/>
      <c r="K1265" s="33"/>
    </row>
    <row r="1266" spans="1:11" ht="15.75">
      <c r="A1266" s="33" t="s">
        <v>770</v>
      </c>
      <c r="B1266" s="33" t="s">
        <v>2619</v>
      </c>
      <c r="C1266" s="33" t="s">
        <v>769</v>
      </c>
      <c r="D1266" s="33"/>
      <c r="E1266" s="33"/>
      <c r="F1266" s="33"/>
      <c r="G1266" s="33"/>
      <c r="H1266" s="33"/>
      <c r="I1266" s="33"/>
      <c r="J1266" s="33"/>
      <c r="K1266" s="33"/>
    </row>
    <row r="1267" spans="1:11" ht="15.75">
      <c r="A1267" s="33" t="s">
        <v>773</v>
      </c>
      <c r="B1267" s="33" t="s">
        <v>2619</v>
      </c>
      <c r="C1267" s="33" t="s">
        <v>772</v>
      </c>
      <c r="D1267" s="33"/>
      <c r="E1267" s="33"/>
      <c r="F1267" s="33"/>
      <c r="G1267" s="33"/>
      <c r="H1267" s="33"/>
      <c r="I1267" s="33"/>
      <c r="J1267" s="33"/>
      <c r="K1267" s="33"/>
    </row>
    <row r="1268" spans="1:11" ht="15.75">
      <c r="A1268" s="33" t="s">
        <v>776</v>
      </c>
      <c r="B1268" s="33" t="s">
        <v>2619</v>
      </c>
      <c r="C1268" s="33" t="s">
        <v>775</v>
      </c>
      <c r="D1268" s="33"/>
      <c r="E1268" s="33"/>
      <c r="F1268" s="33"/>
      <c r="G1268" s="33"/>
      <c r="H1268" s="33"/>
      <c r="I1268" s="33"/>
      <c r="J1268" s="33"/>
      <c r="K1268" s="33"/>
    </row>
    <row r="1269" spans="1:11" ht="15.75">
      <c r="A1269" s="33" t="s">
        <v>779</v>
      </c>
      <c r="B1269" s="33" t="s">
        <v>2619</v>
      </c>
      <c r="C1269" s="33" t="s">
        <v>778</v>
      </c>
      <c r="D1269" s="33"/>
      <c r="E1269" s="33"/>
      <c r="F1269" s="33"/>
      <c r="G1269" s="33"/>
      <c r="H1269" s="33"/>
      <c r="I1269" s="33"/>
      <c r="J1269" s="33"/>
      <c r="K1269" s="33"/>
    </row>
    <row r="1270" spans="1:11" ht="15.75">
      <c r="A1270" s="33" t="s">
        <v>782</v>
      </c>
      <c r="B1270" s="33" t="s">
        <v>2619</v>
      </c>
      <c r="C1270" s="33" t="s">
        <v>781</v>
      </c>
      <c r="D1270" s="33"/>
      <c r="E1270" s="33"/>
      <c r="F1270" s="33"/>
      <c r="G1270" s="33"/>
      <c r="H1270" s="33"/>
      <c r="I1270" s="33"/>
      <c r="J1270" s="33"/>
      <c r="K1270" s="33"/>
    </row>
    <row r="1271" spans="1:11" ht="15.75">
      <c r="A1271" s="33" t="s">
        <v>785</v>
      </c>
      <c r="B1271" s="33" t="s">
        <v>2619</v>
      </c>
      <c r="C1271" s="33" t="s">
        <v>784</v>
      </c>
      <c r="D1271" s="33"/>
      <c r="E1271" s="33"/>
      <c r="F1271" s="33"/>
      <c r="G1271" s="33"/>
      <c r="H1271" s="33"/>
      <c r="I1271" s="33"/>
      <c r="J1271" s="33"/>
      <c r="K1271" s="33"/>
    </row>
    <row r="1272" spans="1:11" ht="15.75">
      <c r="A1272" s="33" t="s">
        <v>788</v>
      </c>
      <c r="B1272" s="33" t="s">
        <v>2619</v>
      </c>
      <c r="C1272" s="33" t="s">
        <v>787</v>
      </c>
      <c r="D1272" s="33"/>
      <c r="E1272" s="33"/>
      <c r="F1272" s="33"/>
      <c r="G1272" s="33"/>
      <c r="H1272" s="33"/>
      <c r="I1272" s="33"/>
      <c r="J1272" s="33"/>
      <c r="K1272" s="33"/>
    </row>
    <row r="1273" spans="1:11" ht="15.75">
      <c r="A1273" s="33" t="s">
        <v>791</v>
      </c>
      <c r="B1273" s="33" t="s">
        <v>2619</v>
      </c>
      <c r="C1273" s="33" t="s">
        <v>790</v>
      </c>
      <c r="D1273" s="33"/>
      <c r="E1273" s="33"/>
      <c r="F1273" s="33"/>
      <c r="G1273" s="33"/>
      <c r="H1273" s="33"/>
      <c r="I1273" s="33"/>
      <c r="J1273" s="33"/>
      <c r="K1273" s="33"/>
    </row>
    <row r="1274" spans="1:11" ht="15.75">
      <c r="A1274" s="33" t="s">
        <v>794</v>
      </c>
      <c r="B1274" s="33" t="s">
        <v>2619</v>
      </c>
      <c r="C1274" s="33" t="s">
        <v>793</v>
      </c>
      <c r="D1274" s="33"/>
      <c r="E1274" s="33"/>
      <c r="F1274" s="33"/>
      <c r="G1274" s="33"/>
      <c r="H1274" s="33"/>
      <c r="I1274" s="33"/>
      <c r="J1274" s="33"/>
      <c r="K1274" s="33"/>
    </row>
    <row r="1275" spans="1:11" ht="15.75">
      <c r="A1275" s="33" t="s">
        <v>797</v>
      </c>
      <c r="B1275" s="33" t="s">
        <v>2619</v>
      </c>
      <c r="C1275" s="33" t="s">
        <v>796</v>
      </c>
      <c r="D1275" s="33"/>
      <c r="E1275" s="33"/>
      <c r="F1275" s="33"/>
      <c r="G1275" s="33"/>
      <c r="H1275" s="33"/>
      <c r="I1275" s="33"/>
      <c r="J1275" s="33"/>
      <c r="K1275" s="33"/>
    </row>
    <row r="1276" spans="1:11" ht="15.75">
      <c r="A1276" s="33" t="s">
        <v>800</v>
      </c>
      <c r="B1276" s="33" t="s">
        <v>2619</v>
      </c>
      <c r="C1276" s="33" t="s">
        <v>799</v>
      </c>
      <c r="D1276" s="33"/>
      <c r="E1276" s="33"/>
      <c r="F1276" s="33"/>
      <c r="G1276" s="33"/>
      <c r="H1276" s="33"/>
      <c r="I1276" s="33"/>
      <c r="J1276" s="33"/>
      <c r="K1276" s="33"/>
    </row>
    <row r="1277" spans="1:11" ht="15.75">
      <c r="A1277" s="33" t="s">
        <v>803</v>
      </c>
      <c r="B1277" s="33" t="s">
        <v>2619</v>
      </c>
      <c r="C1277" s="33" t="s">
        <v>802</v>
      </c>
      <c r="D1277" s="33"/>
      <c r="E1277" s="33"/>
      <c r="F1277" s="33"/>
      <c r="G1277" s="33"/>
      <c r="H1277" s="33"/>
      <c r="I1277" s="33"/>
      <c r="J1277" s="33"/>
      <c r="K1277" s="33"/>
    </row>
    <row r="1278" spans="1:11" ht="15.75">
      <c r="A1278" s="33" t="s">
        <v>806</v>
      </c>
      <c r="B1278" s="33" t="s">
        <v>2619</v>
      </c>
      <c r="C1278" s="33" t="s">
        <v>805</v>
      </c>
      <c r="D1278" s="33"/>
      <c r="E1278" s="33"/>
      <c r="F1278" s="33"/>
      <c r="G1278" s="33"/>
      <c r="H1278" s="33"/>
      <c r="I1278" s="33"/>
      <c r="J1278" s="33"/>
      <c r="K1278" s="33"/>
    </row>
    <row r="1279" spans="1:11" ht="15.75">
      <c r="A1279" s="33" t="s">
        <v>809</v>
      </c>
      <c r="B1279" s="33" t="s">
        <v>2619</v>
      </c>
      <c r="C1279" s="33" t="s">
        <v>808</v>
      </c>
      <c r="D1279" s="33"/>
      <c r="E1279" s="33"/>
      <c r="F1279" s="33"/>
      <c r="G1279" s="33"/>
      <c r="H1279" s="33"/>
      <c r="I1279" s="33"/>
      <c r="J1279" s="33"/>
      <c r="K1279" s="33"/>
    </row>
    <row r="1280" spans="1:11" ht="15.75">
      <c r="A1280" s="33" t="s">
        <v>812</v>
      </c>
      <c r="B1280" s="33" t="s">
        <v>2619</v>
      </c>
      <c r="C1280" s="33" t="s">
        <v>811</v>
      </c>
      <c r="D1280" s="33"/>
      <c r="E1280" s="33"/>
      <c r="F1280" s="33"/>
      <c r="G1280" s="33"/>
      <c r="H1280" s="33"/>
      <c r="I1280" s="33"/>
      <c r="J1280" s="33"/>
      <c r="K1280" s="33"/>
    </row>
    <row r="1281" spans="1:11" ht="15.75">
      <c r="A1281" s="33" t="s">
        <v>815</v>
      </c>
      <c r="B1281" s="33" t="s">
        <v>2619</v>
      </c>
      <c r="C1281" s="33" t="s">
        <v>814</v>
      </c>
      <c r="D1281" s="33"/>
      <c r="E1281" s="33"/>
      <c r="F1281" s="33"/>
      <c r="G1281" s="33"/>
      <c r="H1281" s="33"/>
      <c r="I1281" s="33"/>
      <c r="J1281" s="33"/>
      <c r="K1281" s="33"/>
    </row>
    <row r="1282" spans="1:11" ht="15.75">
      <c r="A1282" s="33" t="s">
        <v>818</v>
      </c>
      <c r="B1282" s="33" t="s">
        <v>2619</v>
      </c>
      <c r="C1282" s="33" t="s">
        <v>817</v>
      </c>
      <c r="D1282" s="33"/>
      <c r="E1282" s="33"/>
      <c r="F1282" s="33"/>
      <c r="G1282" s="33"/>
      <c r="H1282" s="33"/>
      <c r="I1282" s="33"/>
      <c r="J1282" s="33"/>
      <c r="K1282" s="33"/>
    </row>
    <row r="1283" spans="1:11" ht="15.75">
      <c r="A1283" s="33" t="s">
        <v>821</v>
      </c>
      <c r="B1283" s="33" t="s">
        <v>2619</v>
      </c>
      <c r="C1283" s="33" t="s">
        <v>820</v>
      </c>
      <c r="D1283" s="33"/>
      <c r="E1283" s="33"/>
      <c r="F1283" s="33"/>
      <c r="G1283" s="33"/>
      <c r="H1283" s="33"/>
      <c r="I1283" s="33"/>
      <c r="J1283" s="33"/>
      <c r="K1283" s="33"/>
    </row>
    <row r="1284" spans="1:11" ht="15.75">
      <c r="A1284" s="33" t="s">
        <v>824</v>
      </c>
      <c r="B1284" s="33" t="s">
        <v>2619</v>
      </c>
      <c r="C1284" s="33" t="s">
        <v>823</v>
      </c>
      <c r="D1284" s="33"/>
      <c r="E1284" s="33"/>
      <c r="F1284" s="33"/>
      <c r="G1284" s="33"/>
      <c r="H1284" s="33"/>
      <c r="I1284" s="33"/>
      <c r="J1284" s="33"/>
      <c r="K1284" s="33"/>
    </row>
    <row r="1285" spans="1:11" ht="15.75">
      <c r="A1285" s="33" t="s">
        <v>827</v>
      </c>
      <c r="B1285" s="33" t="s">
        <v>2619</v>
      </c>
      <c r="C1285" s="33" t="s">
        <v>826</v>
      </c>
      <c r="D1285" s="33"/>
      <c r="E1285" s="33"/>
      <c r="F1285" s="33"/>
      <c r="G1285" s="33"/>
      <c r="H1285" s="33"/>
      <c r="I1285" s="33"/>
      <c r="J1285" s="33"/>
      <c r="K1285" s="33"/>
    </row>
    <row r="1286" spans="1:11" ht="15.75">
      <c r="A1286" s="33" t="s">
        <v>830</v>
      </c>
      <c r="B1286" s="33" t="s">
        <v>2619</v>
      </c>
      <c r="C1286" s="33" t="s">
        <v>829</v>
      </c>
      <c r="D1286" s="33"/>
      <c r="E1286" s="33"/>
      <c r="F1286" s="33"/>
      <c r="G1286" s="33"/>
      <c r="H1286" s="33"/>
      <c r="I1286" s="33"/>
      <c r="J1286" s="33"/>
      <c r="K1286" s="33"/>
    </row>
    <row r="1287" spans="1:11" ht="15.75">
      <c r="A1287" s="33" t="s">
        <v>833</v>
      </c>
      <c r="B1287" s="33" t="s">
        <v>2619</v>
      </c>
      <c r="C1287" s="33" t="s">
        <v>832</v>
      </c>
      <c r="D1287" s="33"/>
      <c r="E1287" s="33"/>
      <c r="F1287" s="33"/>
      <c r="G1287" s="33"/>
      <c r="H1287" s="33"/>
      <c r="I1287" s="33"/>
      <c r="J1287" s="33"/>
      <c r="K1287" s="33"/>
    </row>
    <row r="1288" spans="1:11" ht="15.75">
      <c r="A1288" s="33" t="s">
        <v>836</v>
      </c>
      <c r="B1288" s="33" t="s">
        <v>2619</v>
      </c>
      <c r="C1288" s="33" t="s">
        <v>835</v>
      </c>
      <c r="D1288" s="33"/>
      <c r="E1288" s="33"/>
      <c r="F1288" s="33"/>
      <c r="G1288" s="33"/>
      <c r="H1288" s="33"/>
      <c r="I1288" s="33"/>
      <c r="J1288" s="33"/>
      <c r="K1288" s="33"/>
    </row>
    <row r="1289" spans="1:11" ht="15.75">
      <c r="A1289" s="33" t="s">
        <v>839</v>
      </c>
      <c r="B1289" s="33" t="s">
        <v>2619</v>
      </c>
      <c r="C1289" s="33" t="s">
        <v>838</v>
      </c>
      <c r="D1289" s="33"/>
      <c r="E1289" s="33"/>
      <c r="F1289" s="33"/>
      <c r="G1289" s="33"/>
      <c r="H1289" s="33"/>
      <c r="I1289" s="33"/>
      <c r="J1289" s="33"/>
      <c r="K1289" s="33"/>
    </row>
    <row r="1290" spans="1:11" ht="15.75">
      <c r="A1290" s="33" t="s">
        <v>842</v>
      </c>
      <c r="B1290" s="33" t="s">
        <v>2619</v>
      </c>
      <c r="C1290" s="33" t="s">
        <v>841</v>
      </c>
      <c r="D1290" s="33"/>
      <c r="E1290" s="33"/>
      <c r="F1290" s="33"/>
      <c r="G1290" s="33"/>
      <c r="H1290" s="33"/>
      <c r="I1290" s="33"/>
      <c r="J1290" s="33"/>
      <c r="K1290" s="33"/>
    </row>
    <row r="1291" spans="1:11" ht="15.75">
      <c r="A1291" s="33" t="s">
        <v>845</v>
      </c>
      <c r="B1291" s="33" t="s">
        <v>2619</v>
      </c>
      <c r="C1291" s="33" t="s">
        <v>844</v>
      </c>
      <c r="D1291" s="33"/>
      <c r="E1291" s="33"/>
      <c r="F1291" s="33"/>
      <c r="G1291" s="33"/>
      <c r="H1291" s="33"/>
      <c r="I1291" s="33"/>
      <c r="J1291" s="33"/>
      <c r="K1291" s="33"/>
    </row>
    <row r="1292" spans="1:11" ht="15.75">
      <c r="A1292" s="33" t="s">
        <v>848</v>
      </c>
      <c r="B1292" s="33" t="s">
        <v>2619</v>
      </c>
      <c r="C1292" s="33" t="s">
        <v>847</v>
      </c>
      <c r="D1292" s="33"/>
      <c r="E1292" s="33"/>
      <c r="F1292" s="33"/>
      <c r="G1292" s="33"/>
      <c r="H1292" s="33"/>
      <c r="I1292" s="33"/>
      <c r="J1292" s="33"/>
      <c r="K1292" s="33"/>
    </row>
    <row r="1293" spans="1:11" ht="15.75">
      <c r="A1293" s="33" t="s">
        <v>851</v>
      </c>
      <c r="B1293" s="33" t="s">
        <v>2619</v>
      </c>
      <c r="C1293" s="33" t="s">
        <v>850</v>
      </c>
      <c r="D1293" s="33"/>
      <c r="E1293" s="33"/>
      <c r="F1293" s="33"/>
      <c r="G1293" s="33"/>
      <c r="H1293" s="33"/>
      <c r="I1293" s="33"/>
      <c r="J1293" s="33"/>
      <c r="K1293" s="33"/>
    </row>
    <row r="1294" spans="1:11" ht="15.75">
      <c r="A1294" s="33" t="s">
        <v>854</v>
      </c>
      <c r="B1294" s="33" t="s">
        <v>2619</v>
      </c>
      <c r="C1294" s="33" t="s">
        <v>853</v>
      </c>
      <c r="D1294" s="33"/>
      <c r="E1294" s="33"/>
      <c r="F1294" s="33"/>
      <c r="G1294" s="33"/>
      <c r="H1294" s="33"/>
      <c r="I1294" s="33"/>
      <c r="J1294" s="33"/>
      <c r="K1294" s="33"/>
    </row>
    <row r="1295" spans="1:11" ht="15.75">
      <c r="A1295" s="33" t="s">
        <v>857</v>
      </c>
      <c r="B1295" s="33" t="s">
        <v>2619</v>
      </c>
      <c r="C1295" s="33" t="s">
        <v>856</v>
      </c>
      <c r="D1295" s="33"/>
      <c r="E1295" s="33"/>
      <c r="F1295" s="33"/>
      <c r="G1295" s="33"/>
      <c r="H1295" s="33"/>
      <c r="I1295" s="33"/>
      <c r="J1295" s="33"/>
      <c r="K1295" s="33"/>
    </row>
    <row r="1296" spans="1:11" ht="15.75">
      <c r="A1296" s="33" t="s">
        <v>860</v>
      </c>
      <c r="B1296" s="33" t="s">
        <v>2619</v>
      </c>
      <c r="C1296" s="33" t="s">
        <v>859</v>
      </c>
      <c r="D1296" s="33"/>
      <c r="E1296" s="33"/>
      <c r="F1296" s="33"/>
      <c r="G1296" s="33"/>
      <c r="H1296" s="33"/>
      <c r="I1296" s="33"/>
      <c r="J1296" s="33"/>
      <c r="K1296" s="33"/>
    </row>
    <row r="1297" spans="1:11" ht="15.75">
      <c r="A1297" s="33" t="s">
        <v>863</v>
      </c>
      <c r="B1297" s="33" t="s">
        <v>2619</v>
      </c>
      <c r="C1297" s="33" t="s">
        <v>862</v>
      </c>
      <c r="D1297" s="33"/>
      <c r="E1297" s="33"/>
      <c r="F1297" s="33"/>
      <c r="G1297" s="33"/>
      <c r="H1297" s="33"/>
      <c r="I1297" s="33"/>
      <c r="J1297" s="33"/>
      <c r="K1297" s="33"/>
    </row>
    <row r="1298" spans="1:11" ht="15.75">
      <c r="A1298" s="33" t="s">
        <v>866</v>
      </c>
      <c r="B1298" s="33" t="s">
        <v>2619</v>
      </c>
      <c r="C1298" s="33" t="s">
        <v>865</v>
      </c>
      <c r="D1298" s="33"/>
      <c r="E1298" s="33"/>
      <c r="F1298" s="33"/>
      <c r="G1298" s="33"/>
      <c r="H1298" s="33"/>
      <c r="I1298" s="33"/>
      <c r="J1298" s="33"/>
      <c r="K1298" s="33"/>
    </row>
    <row r="1299" spans="1:11" ht="15.75">
      <c r="A1299" s="33" t="s">
        <v>869</v>
      </c>
      <c r="B1299" s="33" t="s">
        <v>2619</v>
      </c>
      <c r="C1299" s="33" t="s">
        <v>868</v>
      </c>
      <c r="D1299" s="33"/>
      <c r="E1299" s="33"/>
      <c r="F1299" s="33"/>
      <c r="G1299" s="33"/>
      <c r="H1299" s="33"/>
      <c r="I1299" s="33"/>
      <c r="J1299" s="33"/>
      <c r="K1299" s="33"/>
    </row>
    <row r="1300" spans="1:11" ht="15.75">
      <c r="A1300" s="33" t="s">
        <v>872</v>
      </c>
      <c r="B1300" s="33" t="s">
        <v>2619</v>
      </c>
      <c r="C1300" s="33" t="s">
        <v>871</v>
      </c>
      <c r="D1300" s="33"/>
      <c r="E1300" s="33"/>
      <c r="F1300" s="33"/>
      <c r="G1300" s="33"/>
      <c r="H1300" s="33"/>
      <c r="I1300" s="33"/>
      <c r="J1300" s="33"/>
      <c r="K1300" s="33"/>
    </row>
    <row r="1301" spans="1:11" ht="15.75">
      <c r="A1301" s="33" t="s">
        <v>875</v>
      </c>
      <c r="B1301" s="33" t="s">
        <v>2619</v>
      </c>
      <c r="C1301" s="33" t="s">
        <v>874</v>
      </c>
      <c r="D1301" s="33"/>
      <c r="E1301" s="33"/>
      <c r="F1301" s="33"/>
      <c r="G1301" s="33"/>
      <c r="H1301" s="33"/>
      <c r="I1301" s="33"/>
      <c r="J1301" s="33"/>
      <c r="K1301" s="33"/>
    </row>
    <row r="1302" spans="1:11" ht="15.75">
      <c r="A1302" s="33" t="s">
        <v>878</v>
      </c>
      <c r="B1302" s="33" t="s">
        <v>2619</v>
      </c>
      <c r="C1302" s="33" t="s">
        <v>877</v>
      </c>
      <c r="D1302" s="33"/>
      <c r="E1302" s="33"/>
      <c r="F1302" s="33"/>
      <c r="G1302" s="33"/>
      <c r="H1302" s="33"/>
      <c r="I1302" s="33"/>
      <c r="J1302" s="33"/>
      <c r="K1302" s="33"/>
    </row>
    <row r="1303" spans="1:11" ht="15.75">
      <c r="A1303" s="33" t="s">
        <v>881</v>
      </c>
      <c r="B1303" s="33" t="s">
        <v>2619</v>
      </c>
      <c r="C1303" s="33" t="s">
        <v>880</v>
      </c>
      <c r="D1303" s="33"/>
      <c r="E1303" s="33"/>
      <c r="F1303" s="33"/>
      <c r="G1303" s="33"/>
      <c r="H1303" s="33"/>
      <c r="I1303" s="33"/>
      <c r="J1303" s="33"/>
      <c r="K1303" s="33"/>
    </row>
    <row r="1304" spans="1:11" ht="15.75">
      <c r="A1304" s="33" t="s">
        <v>2627</v>
      </c>
      <c r="B1304" s="33" t="s">
        <v>2628</v>
      </c>
      <c r="C1304" s="33" t="s">
        <v>2629</v>
      </c>
      <c r="D1304" s="33"/>
      <c r="E1304" s="33"/>
      <c r="F1304" s="33"/>
      <c r="G1304" s="33"/>
      <c r="H1304" s="33"/>
      <c r="I1304" s="33"/>
      <c r="J1304" s="33"/>
      <c r="K1304" s="33"/>
    </row>
    <row r="1305" spans="1:11" ht="15.75">
      <c r="A1305" s="33" t="s">
        <v>2630</v>
      </c>
      <c r="B1305" s="33" t="s">
        <v>2628</v>
      </c>
      <c r="C1305" s="33" t="s">
        <v>2631</v>
      </c>
      <c r="D1305" s="33"/>
      <c r="E1305" s="33"/>
      <c r="F1305" s="33"/>
      <c r="G1305" s="33"/>
      <c r="H1305" s="33"/>
      <c r="I1305" s="33"/>
      <c r="J1305" s="33"/>
      <c r="K1305" s="33"/>
    </row>
  </sheetData>
  <mergeCells count="6">
    <mergeCell ref="F1:F2"/>
    <mergeCell ref="D1:D2"/>
    <mergeCell ref="E1:E2"/>
    <mergeCell ref="A1:A2"/>
    <mergeCell ref="B1:B2"/>
    <mergeCell ref="C1:C2"/>
  </mergeCells>
  <pageMargins left="0.7" right="0.7" top="0.75" bottom="0.75" header="0" footer="0"/>
  <pageSetup paperSize="9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1305</vt:i4>
      </vt:variant>
    </vt:vector>
  </HeadingPairs>
  <TitlesOfParts>
    <vt:vector size="1314" baseType="lpstr">
      <vt:lpstr>Demographic</vt:lpstr>
      <vt:lpstr>DemographicsDetailed</vt:lpstr>
      <vt:lpstr>CountryOfTraining</vt:lpstr>
      <vt:lpstr>FacilityOwnershipAndFacility</vt:lpstr>
      <vt:lpstr>Inflows&amp;Outflows</vt:lpstr>
      <vt:lpstr>SourceType</vt:lpstr>
      <vt:lpstr>TypeOfContract</vt:lpstr>
      <vt:lpstr>Validation</vt:lpstr>
      <vt:lpstr>Metadata</vt:lpstr>
      <vt:lpstr>_a0csXCPXx1W</vt:lpstr>
      <vt:lpstr>_a0Tb0vzKk1m</vt:lpstr>
      <vt:lpstr>_a2xwzp8oVHw</vt:lpstr>
      <vt:lpstr>_A3k9S8n5UDB</vt:lpstr>
      <vt:lpstr>_A5bhyAmcZKV</vt:lpstr>
      <vt:lpstr>_a5ii3ZTvZJl</vt:lpstr>
      <vt:lpstr>_A7vlGlMOCQi</vt:lpstr>
      <vt:lpstr>_a7y6M6RSlfA</vt:lpstr>
      <vt:lpstr>_A8qvwcGQ7oR</vt:lpstr>
      <vt:lpstr>_A8ZYkf5BTQ1</vt:lpstr>
      <vt:lpstr>_abfQV1VOf3t</vt:lpstr>
      <vt:lpstr>_aBKbsKeMhM6</vt:lpstr>
      <vt:lpstr>_abpFZulJ2EI</vt:lpstr>
      <vt:lpstr>_ABy98AXLIvi</vt:lpstr>
      <vt:lpstr>_ac1IouPLQqe</vt:lpstr>
      <vt:lpstr>_ACalScnrl2I</vt:lpstr>
      <vt:lpstr>_acxdJCjXxeg</vt:lpstr>
      <vt:lpstr>_ADfCJWnnU2O</vt:lpstr>
      <vt:lpstr>_aDt6BJ6G5Vh</vt:lpstr>
      <vt:lpstr>_Adzexk8xbzD</vt:lpstr>
      <vt:lpstr>_ae8CH5krsam</vt:lpstr>
      <vt:lpstr>_aeEH9WsPkWk</vt:lpstr>
      <vt:lpstr>_AFIorEPU00q</vt:lpstr>
      <vt:lpstr>_ag1Rvst0gJY</vt:lpstr>
      <vt:lpstr>_Agh3IhNPIxF</vt:lpstr>
      <vt:lpstr>_AgjjsN3UJiv</vt:lpstr>
      <vt:lpstr>_AGWxyqGhgfk</vt:lpstr>
      <vt:lpstr>_ahER1ix3fxr</vt:lpstr>
      <vt:lpstr>_AifBdH1NgTt</vt:lpstr>
      <vt:lpstr>_AJBfDthkySs</vt:lpstr>
      <vt:lpstr>_AjeCGGb8H76</vt:lpstr>
      <vt:lpstr>_Ajnw1b8m6eL</vt:lpstr>
      <vt:lpstr>_Ak4QGxirDXg</vt:lpstr>
      <vt:lpstr>_aLiNAjoAsDt</vt:lpstr>
      <vt:lpstr>_AlxUCNc8gwW</vt:lpstr>
      <vt:lpstr>_amPTixaGdsP</vt:lpstr>
      <vt:lpstr>_ANELZaDsI6L</vt:lpstr>
      <vt:lpstr>_aNIrqpwcKXv</vt:lpstr>
      <vt:lpstr>_AO3H3mBW9zD</vt:lpstr>
      <vt:lpstr>_aoq4jeGV5NM</vt:lpstr>
      <vt:lpstr>_aotiqu4EAWq</vt:lpstr>
      <vt:lpstr>_aOYOo12rVAs</vt:lpstr>
      <vt:lpstr>_apVWLKfARpb</vt:lpstr>
      <vt:lpstr>_aqX2gD5zuya</vt:lpstr>
      <vt:lpstr>_arZWO8Ag3iO</vt:lpstr>
      <vt:lpstr>_atZNVujwdt4</vt:lpstr>
      <vt:lpstr>_AtZVwbugSqv</vt:lpstr>
      <vt:lpstr>_aujJ0EVKWer</vt:lpstr>
      <vt:lpstr>_aurZ2kUa2St</vt:lpstr>
      <vt:lpstr>_AUStREIxT4s</vt:lpstr>
      <vt:lpstr>_av3fkpFxEXj</vt:lpstr>
      <vt:lpstr>_aVL32L9ycAJ</vt:lpstr>
      <vt:lpstr>_AVOrdyQXSal</vt:lpstr>
      <vt:lpstr>_AYWCbVecRKQ</vt:lpstr>
      <vt:lpstr>_aZ7Bm5L90rn</vt:lpstr>
      <vt:lpstr>_AZCkBzUZgTr</vt:lpstr>
      <vt:lpstr>_AZdPnw0b1lm</vt:lpstr>
      <vt:lpstr>_aZKKBa26tmF</vt:lpstr>
      <vt:lpstr>_B3fcwYE45w6</vt:lpstr>
      <vt:lpstr>_B4iWc3gcDcn</vt:lpstr>
      <vt:lpstr>_b4XQdI8eqUZ</vt:lpstr>
      <vt:lpstr>_B64oGrmyCqm</vt:lpstr>
      <vt:lpstr>_B6FjV9qz5Dk</vt:lpstr>
      <vt:lpstr>_b6rUObqK3w6</vt:lpstr>
      <vt:lpstr>_B8UngZ8uwD2</vt:lpstr>
      <vt:lpstr>_BbvMZojIbKI</vt:lpstr>
      <vt:lpstr>_Bc3mYAhlY1a</vt:lpstr>
      <vt:lpstr>_bcIh7bdXz7D</vt:lpstr>
      <vt:lpstr>_bcy4159FETR</vt:lpstr>
      <vt:lpstr>_BE32i8A9IOr</vt:lpstr>
      <vt:lpstr>_BgJoMJEnaO1</vt:lpstr>
      <vt:lpstr>_bGWaeVBrOcc</vt:lpstr>
      <vt:lpstr>_BhB6xxjMYIm</vt:lpstr>
      <vt:lpstr>_bhkJDAiqVKX</vt:lpstr>
      <vt:lpstr>_bj9TvyIDtwi</vt:lpstr>
      <vt:lpstr>_BjNwmw0Wupe</vt:lpstr>
      <vt:lpstr>_BkdpZQISAQE</vt:lpstr>
      <vt:lpstr>_BKNhBq1RiwZ</vt:lpstr>
      <vt:lpstr>_bl1Lht78Dt0</vt:lpstr>
      <vt:lpstr>_blA5KNE6nZO</vt:lpstr>
      <vt:lpstr>_blaeng4GF8s</vt:lpstr>
      <vt:lpstr>_BlC8wOVHBlb</vt:lpstr>
      <vt:lpstr>_BLpPqpMtgQY</vt:lpstr>
      <vt:lpstr>_bmaxDrrFSqz</vt:lpstr>
      <vt:lpstr>_BmTVMvJHVBO</vt:lpstr>
      <vt:lpstr>_bMUYGz0AcDJ</vt:lpstr>
      <vt:lpstr>_BnCaf6ZXM1P</vt:lpstr>
      <vt:lpstr>_bnQX2QIuIY9</vt:lpstr>
      <vt:lpstr>_Bon3xyAAWKf</vt:lpstr>
      <vt:lpstr>_bpXR1fc95s1</vt:lpstr>
      <vt:lpstr>_bq00aLH9OPk</vt:lpstr>
      <vt:lpstr>_brISQQxW1xp</vt:lpstr>
      <vt:lpstr>_BrtoXLjA4pi</vt:lpstr>
      <vt:lpstr>_bs0ARZBxDgC</vt:lpstr>
      <vt:lpstr>_bSvvw3Ms4BE</vt:lpstr>
      <vt:lpstr>_btcWCYP4hid</vt:lpstr>
      <vt:lpstr>_BUdUZqtYtwA</vt:lpstr>
      <vt:lpstr>_bUGq4WaBHUD</vt:lpstr>
      <vt:lpstr>_buSEeeViTo3</vt:lpstr>
      <vt:lpstr>_buui1dux4hq</vt:lpstr>
      <vt:lpstr>_bvyjEfI0d2V</vt:lpstr>
      <vt:lpstr>_BVzmce6DVeS</vt:lpstr>
      <vt:lpstr>_ByA5wj8IJyQ</vt:lpstr>
      <vt:lpstr>_bYXQMVmauLD</vt:lpstr>
      <vt:lpstr>_ByXuVj0h8L4</vt:lpstr>
      <vt:lpstr>_C1oMSkmD5am</vt:lpstr>
      <vt:lpstr>_c4JWYSERnO2</vt:lpstr>
      <vt:lpstr>_c6wdOD1RyCZ</vt:lpstr>
      <vt:lpstr>_C7jmannlc7B</vt:lpstr>
      <vt:lpstr>_c82mDnhUQly</vt:lpstr>
      <vt:lpstr>_c9WexKHjrHc</vt:lpstr>
      <vt:lpstr>_CaEJOAbJqM8</vt:lpstr>
      <vt:lpstr>_cCgL3J7Lsgn</vt:lpstr>
      <vt:lpstr>_CCl7hAqlrmE</vt:lpstr>
      <vt:lpstr>_cdilUoXzwL6</vt:lpstr>
      <vt:lpstr>_cDnBDmJhson</vt:lpstr>
      <vt:lpstr>_CduVOiDWxlt</vt:lpstr>
      <vt:lpstr>_ceEkHibtVb7</vt:lpstr>
      <vt:lpstr>_cEeWRyOhOqP</vt:lpstr>
      <vt:lpstr>_cfBaKMnsXd1</vt:lpstr>
      <vt:lpstr>_cfTgv8GDYXQ</vt:lpstr>
      <vt:lpstr>_CFWkO0BIhm8</vt:lpstr>
      <vt:lpstr>_CFX91cqbCf3</vt:lpstr>
      <vt:lpstr>_cg1DEEIeZ9N</vt:lpstr>
      <vt:lpstr>_CgSQbBinEGy</vt:lpstr>
      <vt:lpstr>_CHDhDdoiJ5N</vt:lpstr>
      <vt:lpstr>_ChqxKtGrHVA</vt:lpstr>
      <vt:lpstr>_chzRB2FreBe</vt:lpstr>
      <vt:lpstr>_CItSIKE9O9w</vt:lpstr>
      <vt:lpstr>_cIyw7ChjlgG</vt:lpstr>
      <vt:lpstr>_cJU4qStc9QT</vt:lpstr>
      <vt:lpstr>_CKuOrdb6yS7</vt:lpstr>
      <vt:lpstr>_cMLHJtYTW40</vt:lpstr>
      <vt:lpstr>_CnreQmZbCwP</vt:lpstr>
      <vt:lpstr>_cnxVb8H17tm</vt:lpstr>
      <vt:lpstr>_coCbn8mJeHv</vt:lpstr>
      <vt:lpstr>_COs48yLdDvg</vt:lpstr>
      <vt:lpstr>_CPiewpRETZ2</vt:lpstr>
      <vt:lpstr>_cpmmPDsQ3uG</vt:lpstr>
      <vt:lpstr>_CPmuUXWouRA</vt:lpstr>
      <vt:lpstr>_CpUti69L5aW</vt:lpstr>
      <vt:lpstr>_CqGT5VjDx2p</vt:lpstr>
      <vt:lpstr>_cROoQk16jlH</vt:lpstr>
      <vt:lpstr>_cRWrIpjzvVl</vt:lpstr>
      <vt:lpstr>_cs7H0NFWgV1</vt:lpstr>
      <vt:lpstr>_cSqX4ymZmHA</vt:lpstr>
      <vt:lpstr>_cTz9crtzdvU</vt:lpstr>
      <vt:lpstr>_cukiq4gvnKu</vt:lpstr>
      <vt:lpstr>_CUmZXLC1FrK</vt:lpstr>
      <vt:lpstr>_CVhecwG7dZH</vt:lpstr>
      <vt:lpstr>_cWrL45je7mw</vt:lpstr>
      <vt:lpstr>_cxmJyqa1T5C</vt:lpstr>
      <vt:lpstr>_cxRqR2lVtM7</vt:lpstr>
      <vt:lpstr>_cyNh11xykuJ</vt:lpstr>
      <vt:lpstr>_cZ8823L0fLJ</vt:lpstr>
      <vt:lpstr>_D2jYg0gfya0</vt:lpstr>
      <vt:lpstr>_D2MFGJKtc1Y</vt:lpstr>
      <vt:lpstr>_d3IcPgQbeH5</vt:lpstr>
      <vt:lpstr>_D4JnxOsqwE4</vt:lpstr>
      <vt:lpstr>_D7qUWJoK9kP</vt:lpstr>
      <vt:lpstr>_dAREsnanSp5</vt:lpstr>
      <vt:lpstr>_DC17owNKnOo</vt:lpstr>
      <vt:lpstr>_DCAJyToy1TA</vt:lpstr>
      <vt:lpstr>_ddCUz3SshxU</vt:lpstr>
      <vt:lpstr>_DeDi7rft4BB</vt:lpstr>
      <vt:lpstr>_dFWlhArOcXj</vt:lpstr>
      <vt:lpstr>_dFzLXEnIAvJ</vt:lpstr>
      <vt:lpstr>_DgWsmHVv1JM</vt:lpstr>
      <vt:lpstr>_Di6q414Mk6h</vt:lpstr>
      <vt:lpstr>_DiZ4xWoiBwI</vt:lpstr>
      <vt:lpstr>_dkORIS1sEMv</vt:lpstr>
      <vt:lpstr>_dlPCzWe5TS1</vt:lpstr>
      <vt:lpstr>_dm67bKt2Veu</vt:lpstr>
      <vt:lpstr>_DMyxTSpvKOp</vt:lpstr>
      <vt:lpstr>_DNEZnY8mN9a</vt:lpstr>
      <vt:lpstr>_dNLjKwsVjod</vt:lpstr>
      <vt:lpstr>_DOa51SvSShy</vt:lpstr>
      <vt:lpstr>_dpcvWc01CeN</vt:lpstr>
      <vt:lpstr>_dplV0gzW0ea</vt:lpstr>
      <vt:lpstr>_DqCmuPyyEKP</vt:lpstr>
      <vt:lpstr>_dQY65eVM9jB</vt:lpstr>
      <vt:lpstr>_DqZNrSSZ2S0</vt:lpstr>
      <vt:lpstr>_drJDZnHzeBH</vt:lpstr>
      <vt:lpstr>_dscgTvwyCw8</vt:lpstr>
      <vt:lpstr>_DSefi5x6sWB</vt:lpstr>
      <vt:lpstr>_dTCOMljlITC</vt:lpstr>
      <vt:lpstr>_DUM8AqRoBQh</vt:lpstr>
      <vt:lpstr>_dutH7uvTAut</vt:lpstr>
      <vt:lpstr>_dvNINMJZS3V</vt:lpstr>
      <vt:lpstr>_DVnpk4xiXGJ</vt:lpstr>
      <vt:lpstr>_DvUGMtSaXNy</vt:lpstr>
      <vt:lpstr>_DwYskq1riRd</vt:lpstr>
      <vt:lpstr>_dxbj7q8MNNf</vt:lpstr>
      <vt:lpstr>_DxJhkCTyPPs</vt:lpstr>
      <vt:lpstr>_dyBI6HTR04N</vt:lpstr>
      <vt:lpstr>_dYKAIYSnLue</vt:lpstr>
      <vt:lpstr>_DyPeahMx1ww</vt:lpstr>
      <vt:lpstr>_DzAOqCf0ots</vt:lpstr>
      <vt:lpstr>_DzAVo6vLt1C</vt:lpstr>
      <vt:lpstr>_Dzsq1pwIHqF</vt:lpstr>
      <vt:lpstr>_e0qvyzapmu3</vt:lpstr>
      <vt:lpstr>_e2G8l2GXMCi</vt:lpstr>
      <vt:lpstr>_e32KJz6JDNr</vt:lpstr>
      <vt:lpstr>_e3ba55rLVTZ</vt:lpstr>
      <vt:lpstr>_E3tKGZMq4Tn</vt:lpstr>
      <vt:lpstr>_E6yC5xp14iQ</vt:lpstr>
      <vt:lpstr>_e7mFNsyiTtQ</vt:lpstr>
      <vt:lpstr>_E9G2aQpCs1A</vt:lpstr>
      <vt:lpstr>_e9IoKRAkYLO</vt:lpstr>
      <vt:lpstr>_e9thFQZbFg5</vt:lpstr>
      <vt:lpstr>_eA4qiSbPKdb</vt:lpstr>
      <vt:lpstr>_EB4aSZN0eQr</vt:lpstr>
      <vt:lpstr>_ec8BXAwrBTh</vt:lpstr>
      <vt:lpstr>_EDHO4qOyY88</vt:lpstr>
      <vt:lpstr>_EDPtZbCSShb</vt:lpstr>
      <vt:lpstr>_ee1Hn2wJnM0</vt:lpstr>
      <vt:lpstr>_eEQkLvHHoSU</vt:lpstr>
      <vt:lpstr>_EEZGLQRHQDr</vt:lpstr>
      <vt:lpstr>_efCfb5edDjv</vt:lpstr>
      <vt:lpstr>_EGLpIMSAWhx</vt:lpstr>
      <vt:lpstr>_eGtL8nwtSKq</vt:lpstr>
      <vt:lpstr>_ehNfKt5LpG9</vt:lpstr>
      <vt:lpstr>_EHRN1PJaEfH</vt:lpstr>
      <vt:lpstr>_EhXjWmnNPjO</vt:lpstr>
      <vt:lpstr>_EIh0f0A4G1N</vt:lpstr>
      <vt:lpstr>_EiN0OWdHFxO</vt:lpstr>
      <vt:lpstr>_eIv6kzcg3Dr</vt:lpstr>
      <vt:lpstr>_ejrzC4bEJ5R</vt:lpstr>
      <vt:lpstr>_EkG2Du5D5qU</vt:lpstr>
      <vt:lpstr>_EKWgav1YgFc</vt:lpstr>
      <vt:lpstr>_ElwEWppmGgv</vt:lpstr>
      <vt:lpstr>_eMX8cocS1J5</vt:lpstr>
      <vt:lpstr>_EnJ3dnowitV</vt:lpstr>
      <vt:lpstr>_EnoivPEWUMM</vt:lpstr>
      <vt:lpstr>_enrjtKkx6PG</vt:lpstr>
      <vt:lpstr>_EOdyM2Jq6eh</vt:lpstr>
      <vt:lpstr>_EojH3xtSttx</vt:lpstr>
      <vt:lpstr>_eOwKCkmSUOO</vt:lpstr>
      <vt:lpstr>_eP4EDcfclsH</vt:lpstr>
      <vt:lpstr>_EPjTph0oE8r</vt:lpstr>
      <vt:lpstr>_eQqPLgjcG16</vt:lpstr>
      <vt:lpstr>_er7MPiN3tdH</vt:lpstr>
      <vt:lpstr>_ERAgsIEBM5o</vt:lpstr>
      <vt:lpstr>_ES9xDNLOKtZ</vt:lpstr>
      <vt:lpstr>_ESi2uY4Gqn1</vt:lpstr>
      <vt:lpstr>_Et2p1cf7EeZ</vt:lpstr>
      <vt:lpstr>_EubjsxqlA4d</vt:lpstr>
      <vt:lpstr>_EugP2KVsM7Q</vt:lpstr>
      <vt:lpstr>_eVEK7djdWqV</vt:lpstr>
      <vt:lpstr>_eVp1pvRfPKS</vt:lpstr>
      <vt:lpstr>_eWjpUQpzWKX</vt:lpstr>
      <vt:lpstr>_eWlZ0JPdgiX</vt:lpstr>
      <vt:lpstr>_Exg37zi5bC6</vt:lpstr>
      <vt:lpstr>_eXmcYNVuuUY</vt:lpstr>
      <vt:lpstr>_eyvitcZL4ex</vt:lpstr>
      <vt:lpstr>_ez5XnYzGvay</vt:lpstr>
      <vt:lpstr>_Ez9t3jLrVkh</vt:lpstr>
      <vt:lpstr>_ezAgi6u5Qta</vt:lpstr>
      <vt:lpstr>_f0djIPxZ9VG</vt:lpstr>
      <vt:lpstr>_F0fAfMzFdw1</vt:lpstr>
      <vt:lpstr>_f2XAafiQede</vt:lpstr>
      <vt:lpstr>_F3kCvhpDnMM</vt:lpstr>
      <vt:lpstr>_f3uPMHGZ9T5</vt:lpstr>
      <vt:lpstr>_f4ZFD2aswys</vt:lpstr>
      <vt:lpstr>_F59E3s3oEOr</vt:lpstr>
      <vt:lpstr>_f75GbjjbQo6</vt:lpstr>
      <vt:lpstr>_F8ml1qKvZIY</vt:lpstr>
      <vt:lpstr>_F9DOHQaJYfU</vt:lpstr>
      <vt:lpstr>_F9K5WaAkE1J</vt:lpstr>
      <vt:lpstr>_FA3nDd4psmk</vt:lpstr>
      <vt:lpstr>_fAb4itKc1ZM</vt:lpstr>
      <vt:lpstr>_false</vt:lpstr>
      <vt:lpstr>_FAoaZdPdq90</vt:lpstr>
      <vt:lpstr>_fEck0UnAFaV</vt:lpstr>
      <vt:lpstr>_feoDuRjZweV</vt:lpstr>
      <vt:lpstr>_fF22gizcjdT</vt:lpstr>
      <vt:lpstr>_fg8TSIHSGHX</vt:lpstr>
      <vt:lpstr>_Fgp2erpoOMQ</vt:lpstr>
      <vt:lpstr>_fHaKXfcKthe</vt:lpstr>
      <vt:lpstr>_fHXW26zg2U6</vt:lpstr>
      <vt:lpstr>_Fi5lLVwe1Th</vt:lpstr>
      <vt:lpstr>_fIlPGTXBCUm</vt:lpstr>
      <vt:lpstr>_fJBWZdiQ1Vj</vt:lpstr>
      <vt:lpstr>_FJi9JUh9a2f</vt:lpstr>
      <vt:lpstr>_fkrzFaeuYDn</vt:lpstr>
      <vt:lpstr>_Fm2HakleZ27</vt:lpstr>
      <vt:lpstr>_fmNedNy1Dz4</vt:lpstr>
      <vt:lpstr>_FN2u125TSGN</vt:lpstr>
      <vt:lpstr>_fn91BEPSaGY</vt:lpstr>
      <vt:lpstr>_FNduj2N3e8s</vt:lpstr>
      <vt:lpstr>_FOJUXD6f6lB</vt:lpstr>
      <vt:lpstr>_fPDuFoFWUr3</vt:lpstr>
      <vt:lpstr>_Fq9qs6Kn6wN</vt:lpstr>
      <vt:lpstr>_fqPqYs1WW22</vt:lpstr>
      <vt:lpstr>_FU6JZtf1IOo</vt:lpstr>
      <vt:lpstr>_Fu9cXCCTPU5</vt:lpstr>
      <vt:lpstr>_fUCZtV4BiIH</vt:lpstr>
      <vt:lpstr>_FUieyovDec8</vt:lpstr>
      <vt:lpstr>_fWtFTYJAf3L</vt:lpstr>
      <vt:lpstr>_FxGf8jMM8D1</vt:lpstr>
      <vt:lpstr>_FXGfkCMrBqo</vt:lpstr>
      <vt:lpstr>_fYeClLy8K2x</vt:lpstr>
      <vt:lpstr>_fYmPwpZRDGZ</vt:lpstr>
      <vt:lpstr>_FZmk1UVPIqJ</vt:lpstr>
      <vt:lpstr>_G037PAPU5dO</vt:lpstr>
      <vt:lpstr>_g2hJEzpZfH1</vt:lpstr>
      <vt:lpstr>_G34jrX7TcVv</vt:lpstr>
      <vt:lpstr>_G3thRWUQAX9</vt:lpstr>
      <vt:lpstr>_g49fuSiB623</vt:lpstr>
      <vt:lpstr>_G4eIchdhtRG</vt:lpstr>
      <vt:lpstr>_G4NTIrtM8sA</vt:lpstr>
      <vt:lpstr>_G4ovW8h2nds</vt:lpstr>
      <vt:lpstr>_G8FCnT37gyb</vt:lpstr>
      <vt:lpstr>_G9o5ad4oJJX</vt:lpstr>
      <vt:lpstr>_g9WyLxpr1E2</vt:lpstr>
      <vt:lpstr>_Gan3VYicAWe</vt:lpstr>
      <vt:lpstr>_gb7vWtO7Wjp</vt:lpstr>
      <vt:lpstr>_gb8YWtxeYVR</vt:lpstr>
      <vt:lpstr>_Gba6kTIsDrV</vt:lpstr>
      <vt:lpstr>_gbKjZ4XRb78</vt:lpstr>
      <vt:lpstr>_GC5rlUksCqm</vt:lpstr>
      <vt:lpstr>_gczUvPeuphw</vt:lpstr>
      <vt:lpstr>_GeB8aO0VMdh</vt:lpstr>
      <vt:lpstr>_gEnofzKU8FV</vt:lpstr>
      <vt:lpstr>_GFfMM55sVzg</vt:lpstr>
      <vt:lpstr>_gg9DH7dvdeD</vt:lpstr>
      <vt:lpstr>_Gi4BzUhTjYb</vt:lpstr>
      <vt:lpstr>_Gi5YLztjtyB</vt:lpstr>
      <vt:lpstr>_GJUbT5P29ol</vt:lpstr>
      <vt:lpstr>_GKkncWAOs8H</vt:lpstr>
      <vt:lpstr>_GKnY5V4PkhM</vt:lpstr>
      <vt:lpstr>_GkT2M3jxh7F</vt:lpstr>
      <vt:lpstr>_GLcIfpRWf5S</vt:lpstr>
      <vt:lpstr>_gLjLQFU5iGR</vt:lpstr>
      <vt:lpstr>_gm3SPYN1Kox</vt:lpstr>
      <vt:lpstr>_GmeuB9HTitg</vt:lpstr>
      <vt:lpstr>_gMz0MxjZcEt</vt:lpstr>
      <vt:lpstr>_Gnz4lqrVEMf</vt:lpstr>
      <vt:lpstr>_goxjwhLBh98</vt:lpstr>
      <vt:lpstr>_GPyOOoIby8R</vt:lpstr>
      <vt:lpstr>_GrU8zQv510v</vt:lpstr>
      <vt:lpstr>_gsbHTvgB2ve</vt:lpstr>
      <vt:lpstr>_GSHgapGzSnl</vt:lpstr>
      <vt:lpstr>_GSIxPs4LKUL</vt:lpstr>
      <vt:lpstr>_GSwM6L4ZPsB</vt:lpstr>
      <vt:lpstr>_Gt3WTdWYUeJ</vt:lpstr>
      <vt:lpstr>_GuIr410uu6E</vt:lpstr>
      <vt:lpstr>_GVeTUYRwWNF</vt:lpstr>
      <vt:lpstr>_gvFoQrCkLc2</vt:lpstr>
      <vt:lpstr>_Gvox4WmLiYC</vt:lpstr>
      <vt:lpstr>_gw5tmOlsYne</vt:lpstr>
      <vt:lpstr>_GWQBgBHdbbp</vt:lpstr>
      <vt:lpstr>_gWxbpG09atk</vt:lpstr>
      <vt:lpstr>_GXDCQoGj6T3</vt:lpstr>
      <vt:lpstr>_gxepwyvRxbV</vt:lpstr>
      <vt:lpstr>_gxi9jcBYyrL</vt:lpstr>
      <vt:lpstr>_gXsLaaEjWb4</vt:lpstr>
      <vt:lpstr>_gybBvP7vbBl</vt:lpstr>
      <vt:lpstr>_GYmXWDOK6w7</vt:lpstr>
      <vt:lpstr>_GZTChYSePoP</vt:lpstr>
      <vt:lpstr>_h0mNqlvj5B0</vt:lpstr>
      <vt:lpstr>_h13bMS86rtI</vt:lpstr>
      <vt:lpstr>_h3kClMEpMAy</vt:lpstr>
      <vt:lpstr>_h4ujJZZaiUT</vt:lpstr>
      <vt:lpstr>_H68Cr5CXfUE</vt:lpstr>
      <vt:lpstr>_h6VJJu0W8U7</vt:lpstr>
      <vt:lpstr>_h7A8N2QpOkV</vt:lpstr>
      <vt:lpstr>_h7OW3TrJ61e</vt:lpstr>
      <vt:lpstr>_H8DnO52iMD9</vt:lpstr>
      <vt:lpstr>_H9hyUA3QPdl</vt:lpstr>
      <vt:lpstr>_H9tYjJ0nzgU</vt:lpstr>
      <vt:lpstr>_H9TZE490EpE</vt:lpstr>
      <vt:lpstr>_HamZOQ3wtl5</vt:lpstr>
      <vt:lpstr>_HankECMMB6D</vt:lpstr>
      <vt:lpstr>_hC2N9T8F5JD</vt:lpstr>
      <vt:lpstr>_hd3EEwIBQ9P</vt:lpstr>
      <vt:lpstr>_HdhmoGCamcH</vt:lpstr>
      <vt:lpstr>_HdK1N3rPeZ1</vt:lpstr>
      <vt:lpstr>_HDN85xUGB65</vt:lpstr>
      <vt:lpstr>_Hdnrh21ktLV</vt:lpstr>
      <vt:lpstr>_HdwPlhpIWce</vt:lpstr>
      <vt:lpstr>_HeI3osYsbQa</vt:lpstr>
      <vt:lpstr>_HENe5Xv6B7j</vt:lpstr>
      <vt:lpstr>_HfVjCurKxh2</vt:lpstr>
      <vt:lpstr>_hG1CNbw8wSF</vt:lpstr>
      <vt:lpstr>_hgGOTFYZxMO</vt:lpstr>
      <vt:lpstr>_hH5gFw01p2g</vt:lpstr>
      <vt:lpstr>_hhiYH7hH3xx</vt:lpstr>
      <vt:lpstr>_HhQgAcNaKUv</vt:lpstr>
      <vt:lpstr>_hIrci8ms28E</vt:lpstr>
      <vt:lpstr>_hiSNbC7WWAb</vt:lpstr>
      <vt:lpstr>_HizhPCC5Ps5</vt:lpstr>
      <vt:lpstr>_hjdFz4fLLzw</vt:lpstr>
      <vt:lpstr>_HLgQXol1EPh</vt:lpstr>
      <vt:lpstr>_HmC6k52OuR4</vt:lpstr>
      <vt:lpstr>_HmD6AHanlbO</vt:lpstr>
      <vt:lpstr>_hMrvIBEugrP</vt:lpstr>
      <vt:lpstr>_hmZE3mVAZFf</vt:lpstr>
      <vt:lpstr>_hnFSVoNKKBM</vt:lpstr>
      <vt:lpstr>_HP50SIF4Fby</vt:lpstr>
      <vt:lpstr>_hPJQaP7PdYq</vt:lpstr>
      <vt:lpstr>_hpXoMVtJpT3</vt:lpstr>
      <vt:lpstr>_HQ8aBbw7Qwj</vt:lpstr>
      <vt:lpstr>_hs3mR0ZYVTY</vt:lpstr>
      <vt:lpstr>_Hs4A0KUqMDQ</vt:lpstr>
      <vt:lpstr>_HSgxaTyJ0kK</vt:lpstr>
      <vt:lpstr>_hsNootK2YBV</vt:lpstr>
      <vt:lpstr>_hTbGyO8zzbu</vt:lpstr>
      <vt:lpstr>_hTgpqkx2MAb</vt:lpstr>
      <vt:lpstr>_HU1QlB34WcG</vt:lpstr>
      <vt:lpstr>_huTJERDQhyZ</vt:lpstr>
      <vt:lpstr>_HvDcrobmiCy</vt:lpstr>
      <vt:lpstr>_HwqfuL9pQz5</vt:lpstr>
      <vt:lpstr>_HX7fBSMCCbL</vt:lpstr>
      <vt:lpstr>_HYEuE8zV74t</vt:lpstr>
      <vt:lpstr>_hYvVhwa2Frr</vt:lpstr>
      <vt:lpstr>_HzK449Z1Mop</vt:lpstr>
      <vt:lpstr>_i14E8ggjzvt</vt:lpstr>
      <vt:lpstr>_I3NxIqG7bD4</vt:lpstr>
      <vt:lpstr>_i3v8r9XNls2</vt:lpstr>
      <vt:lpstr>_i54ywgixjhp</vt:lpstr>
      <vt:lpstr>_I5C27Tsoc8I</vt:lpstr>
      <vt:lpstr>_I5EztFwNzC0</vt:lpstr>
      <vt:lpstr>_I5Fl6OAe8n6</vt:lpstr>
      <vt:lpstr>_I5v0SqhcWvK</vt:lpstr>
      <vt:lpstr>_i9cf6x7GPgh</vt:lpstr>
      <vt:lpstr>_IArireTHAtu</vt:lpstr>
      <vt:lpstr>_IbGbsybdeou</vt:lpstr>
      <vt:lpstr>_ibGsqmiVkoU</vt:lpstr>
      <vt:lpstr>_ibxHVF1IOea</vt:lpstr>
      <vt:lpstr>_iDHwJraJp3Y</vt:lpstr>
      <vt:lpstr>_idY7moseTTD</vt:lpstr>
      <vt:lpstr>_IFAb1JUZ0Fz</vt:lpstr>
      <vt:lpstr>_iFaKKDtb7nf</vt:lpstr>
      <vt:lpstr>_ifKISqV6PJh</vt:lpstr>
      <vt:lpstr>_iGP92WgNuVf</vt:lpstr>
      <vt:lpstr>_IGq57K2U3et</vt:lpstr>
      <vt:lpstr>_IgzM67pvha5</vt:lpstr>
      <vt:lpstr>_IhnQTXo2sCi</vt:lpstr>
      <vt:lpstr>_ihsAfRE2H0G</vt:lpstr>
      <vt:lpstr>_iHzbU9M01XV</vt:lpstr>
      <vt:lpstr>_IjLnDADGraQ</vt:lpstr>
      <vt:lpstr>_iJzGpY38k41</vt:lpstr>
      <vt:lpstr>_iLowQAmnmZK</vt:lpstr>
      <vt:lpstr>_IMqululFzhP</vt:lpstr>
      <vt:lpstr>_iNT35p3jsEM</vt:lpstr>
      <vt:lpstr>_iNZRPMFtHSr</vt:lpstr>
      <vt:lpstr>_ipe4pT2TW7G</vt:lpstr>
      <vt:lpstr>_Iq74LfX3CB5</vt:lpstr>
      <vt:lpstr>_ISnx1WJdoMN</vt:lpstr>
      <vt:lpstr>_It06Qq2EzsF</vt:lpstr>
      <vt:lpstr>_IT332UM0Eyd</vt:lpstr>
      <vt:lpstr>_ITHN93Jce9l</vt:lpstr>
      <vt:lpstr>_IttDSHJE3tY</vt:lpstr>
      <vt:lpstr>_iuQxbRYPa0P</vt:lpstr>
      <vt:lpstr>_IVHnxII1IQO</vt:lpstr>
      <vt:lpstr>_ix4kFHxwYTd</vt:lpstr>
      <vt:lpstr>_ixpABERkob0</vt:lpstr>
      <vt:lpstr>_Izaihcp5imV</vt:lpstr>
      <vt:lpstr>_IzLrdmSQGZs</vt:lpstr>
      <vt:lpstr>_IZSm5iPKkDg</vt:lpstr>
      <vt:lpstr>_IZy3ESdFnp5</vt:lpstr>
      <vt:lpstr>_J1gsCnLV1C6</vt:lpstr>
      <vt:lpstr>_J1xdPkLQqgn</vt:lpstr>
      <vt:lpstr>_J6Zk3SfpHfM</vt:lpstr>
      <vt:lpstr>_J8m9vtLVo2G</vt:lpstr>
      <vt:lpstr>_j9SOCeGryr9</vt:lpstr>
      <vt:lpstr>_ja0fxo22OTu</vt:lpstr>
      <vt:lpstr>_JBCKANhdTX4</vt:lpstr>
      <vt:lpstr>_jBJbfbVjszi</vt:lpstr>
      <vt:lpstr>_jBu0lozRMGR</vt:lpstr>
      <vt:lpstr>_jC51Spxta9C</vt:lpstr>
      <vt:lpstr>_jCtFxm8aADJ</vt:lpstr>
      <vt:lpstr>_jD7f0DfCi3d</vt:lpstr>
      <vt:lpstr>_JE2f9V3NIFL</vt:lpstr>
      <vt:lpstr>_JEHwU064LAj</vt:lpstr>
      <vt:lpstr>_jEX6APp1feK</vt:lpstr>
      <vt:lpstr>_jFOZHDZpjPL</vt:lpstr>
      <vt:lpstr>_jfXGOQwsmKq</vt:lpstr>
      <vt:lpstr>_JgcDpU82eRk</vt:lpstr>
      <vt:lpstr>_jhV8D0Dvbvz</vt:lpstr>
      <vt:lpstr>_jHYuGEGVgTQ</vt:lpstr>
      <vt:lpstr>_JI5lagoUJR4</vt:lpstr>
      <vt:lpstr>_JIr15Xt3EQn</vt:lpstr>
      <vt:lpstr>_jIuMMPDV6by</vt:lpstr>
      <vt:lpstr>_jj5ZtVGdcwd</vt:lpstr>
      <vt:lpstr>_jKPxJmIXMfs</vt:lpstr>
      <vt:lpstr>_jkyBvNzcTLl</vt:lpstr>
      <vt:lpstr>_jLhYGG8YfpL</vt:lpstr>
      <vt:lpstr>_jMGr96nGwHN</vt:lpstr>
      <vt:lpstr>_JMWzvzwgToC</vt:lpstr>
      <vt:lpstr>_jnfm7mwyTcb</vt:lpstr>
      <vt:lpstr>_jnGp1WtKfVG</vt:lpstr>
      <vt:lpstr>_JNRH0Kptomm</vt:lpstr>
      <vt:lpstr>_jnszKG9z5Mz</vt:lpstr>
      <vt:lpstr>_JPBLCDK3H2x</vt:lpstr>
      <vt:lpstr>_JPklATr7DCt</vt:lpstr>
      <vt:lpstr>_JQ5qF3mRCMe</vt:lpstr>
      <vt:lpstr>_JQkVqnP5kCq</vt:lpstr>
      <vt:lpstr>_JQL0onXq6ge</vt:lpstr>
      <vt:lpstr>_JRLY2XBpopS</vt:lpstr>
      <vt:lpstr>_JrSwky5tYzt</vt:lpstr>
      <vt:lpstr>_JRUk55kvbrE</vt:lpstr>
      <vt:lpstr>_juBxu3AprlM</vt:lpstr>
      <vt:lpstr>_jVqoXv7rFns</vt:lpstr>
      <vt:lpstr>_JvWTmXsCHJj</vt:lpstr>
      <vt:lpstr>_jwpUKqza5tE</vt:lpstr>
      <vt:lpstr>_JWXFdM78vKq</vt:lpstr>
      <vt:lpstr>_Jx6oc5hMVvO</vt:lpstr>
      <vt:lpstr>_JX7HJfPfbog</vt:lpstr>
      <vt:lpstr>_jXQq22U4Y2e</vt:lpstr>
      <vt:lpstr>_jxUmQ1pAqyo</vt:lpstr>
      <vt:lpstr>_JXZp3qBlqKP</vt:lpstr>
      <vt:lpstr>_jY9ia5NLA77</vt:lpstr>
      <vt:lpstr>_jzhphQ54S88</vt:lpstr>
      <vt:lpstr>_jZOt27rWre8</vt:lpstr>
      <vt:lpstr>_JzvGfLYkX17</vt:lpstr>
      <vt:lpstr>_K3EI0GwfkG8</vt:lpstr>
      <vt:lpstr>_k3mk13WP4nI</vt:lpstr>
      <vt:lpstr>_K3UcvN3sbDf</vt:lpstr>
      <vt:lpstr>_k8RfzK41pD4</vt:lpstr>
      <vt:lpstr>_kaSAsTJ5nxG</vt:lpstr>
      <vt:lpstr>_KAU5IPKoIgx</vt:lpstr>
      <vt:lpstr>_KAUSOoBq5Ft</vt:lpstr>
      <vt:lpstr>_kbm5mwVcVa6</vt:lpstr>
      <vt:lpstr>_KDi786sQNzG</vt:lpstr>
      <vt:lpstr>_KFiedG0hNrV</vt:lpstr>
      <vt:lpstr>_KftyPFBsxl0</vt:lpstr>
      <vt:lpstr>_KGnMzMLw9z0</vt:lpstr>
      <vt:lpstr>_Kh9ikyodKnN</vt:lpstr>
      <vt:lpstr>_KHgbn4zfgrB</vt:lpstr>
      <vt:lpstr>_KHL0TSASQzg</vt:lpstr>
      <vt:lpstr>_kIlOxz1hjqj</vt:lpstr>
      <vt:lpstr>_KioZypAqUxc</vt:lpstr>
      <vt:lpstr>_Kkh2Axjhczd</vt:lpstr>
      <vt:lpstr>_kkOw6gPK2OK</vt:lpstr>
      <vt:lpstr>_KLbSi3CJxSo</vt:lpstr>
      <vt:lpstr>_klIqXXMQ1AF</vt:lpstr>
      <vt:lpstr>_klKaUMVsHxb</vt:lpstr>
      <vt:lpstr>_KnjRRcegyLC</vt:lpstr>
      <vt:lpstr>_kNKgbh9K2Ni</vt:lpstr>
      <vt:lpstr>_KnNekvrEI5f</vt:lpstr>
      <vt:lpstr>_KOUhvjWIy6V</vt:lpstr>
      <vt:lpstr>_kP4Lt8wdvd9</vt:lpstr>
      <vt:lpstr>_kpFgAwwSjCZ</vt:lpstr>
      <vt:lpstr>_kPgF27h5Zao</vt:lpstr>
      <vt:lpstr>_KqaTbKanCG3</vt:lpstr>
      <vt:lpstr>_Kr3g14QtHqR</vt:lpstr>
      <vt:lpstr>_kRrGCtqloph</vt:lpstr>
      <vt:lpstr>_KrU8C1YTdao</vt:lpstr>
      <vt:lpstr>_ksZnJo3iKXT</vt:lpstr>
      <vt:lpstr>_kUtWaQStS1j</vt:lpstr>
      <vt:lpstr>_kv8QLREJZk6</vt:lpstr>
      <vt:lpstr>_KvI6UnlCWE8</vt:lpstr>
      <vt:lpstr>_KwgjnBBpe5b</vt:lpstr>
      <vt:lpstr>_KwIlxiiBBjV</vt:lpstr>
      <vt:lpstr>_kWzye8GtVeb</vt:lpstr>
      <vt:lpstr>_kX1fshxhfjh</vt:lpstr>
      <vt:lpstr>_kYO6lFqgkUO</vt:lpstr>
      <vt:lpstr>_L0M2EGCKsU9</vt:lpstr>
      <vt:lpstr>_l1mCEuDf2ZI</vt:lpstr>
      <vt:lpstr>_l3cYAy0fRjl</vt:lpstr>
      <vt:lpstr>_L3f8EEO2QTn</vt:lpstr>
      <vt:lpstr>_l6nbxFm0CO4</vt:lpstr>
      <vt:lpstr>_l7UXvoiTgEX</vt:lpstr>
      <vt:lpstr>_l91qM3cJTek</vt:lpstr>
      <vt:lpstr>_L9GBwS8b1W8</vt:lpstr>
      <vt:lpstr>_L9jYzVsoc9L</vt:lpstr>
      <vt:lpstr>_LAPR4Iu2NVS</vt:lpstr>
      <vt:lpstr>_LaQe20TdHvH</vt:lpstr>
      <vt:lpstr>_Lbkg2I4JTgG</vt:lpstr>
      <vt:lpstr>_lbMrRSBsXh3</vt:lpstr>
      <vt:lpstr>_LBtaidI5G2z</vt:lpstr>
      <vt:lpstr>_LbWpsX1FJcC</vt:lpstr>
      <vt:lpstr>_lBwtsiLb6w6</vt:lpstr>
      <vt:lpstr>_lcB0UtS4nuB</vt:lpstr>
      <vt:lpstr>_LddbYuuaWf7</vt:lpstr>
      <vt:lpstr>_ldnUHxE7mb1</vt:lpstr>
      <vt:lpstr>_ldpEanGgRnU</vt:lpstr>
      <vt:lpstr>_lduI45hYMv5</vt:lpstr>
      <vt:lpstr>_LE4fsk3RYza</vt:lpstr>
      <vt:lpstr>_lGN2n7pZ6Ua</vt:lpstr>
      <vt:lpstr>_lguPmuZBWDk</vt:lpstr>
      <vt:lpstr>_lh9mjPVQgUs</vt:lpstr>
      <vt:lpstr>_Lir6kztSRZ7</vt:lpstr>
      <vt:lpstr>_LJ8KCWU8OOV</vt:lpstr>
      <vt:lpstr>_LkiHwqqYnxV</vt:lpstr>
      <vt:lpstr>_LKiTYPmaOhj</vt:lpstr>
      <vt:lpstr>_Lkjp0MFLDov</vt:lpstr>
      <vt:lpstr>_LKw1KLdrCT5</vt:lpstr>
      <vt:lpstr>_lKZR6UK0afN</vt:lpstr>
      <vt:lpstr>_lLYmmETEDPj</vt:lpstr>
      <vt:lpstr>_lMaO3449q0x</vt:lpstr>
      <vt:lpstr>_lnvESj20mWZ</vt:lpstr>
      <vt:lpstr>_LO5oNfvohPx</vt:lpstr>
      <vt:lpstr>_loSyLnRwwBi</vt:lpstr>
      <vt:lpstr>_LPbH3n77lxu</vt:lpstr>
      <vt:lpstr>_LPTrylkVM4Q</vt:lpstr>
      <vt:lpstr>_Lpvf0YxPz6h</vt:lpstr>
      <vt:lpstr>_LrDRewV80hv</vt:lpstr>
      <vt:lpstr>_LrG8CqG0mhV</vt:lpstr>
      <vt:lpstr>_LRoVMRyVmrE</vt:lpstr>
      <vt:lpstr>_Ls5uiJRlx9L</vt:lpstr>
      <vt:lpstr>_Lsnc4RViH9F</vt:lpstr>
      <vt:lpstr>_lT2PXXEtNc0</vt:lpstr>
      <vt:lpstr>_LTLHCOHyyWS</vt:lpstr>
      <vt:lpstr>_lTZshHjGQEe</vt:lpstr>
      <vt:lpstr>_LvGn3KFEzvA</vt:lpstr>
      <vt:lpstr>_lVPoUAKCdmU</vt:lpstr>
      <vt:lpstr>_lWJJnkPwmnJ</vt:lpstr>
      <vt:lpstr>_LX2QltISk5s</vt:lpstr>
      <vt:lpstr>_LYWv25b6Yfu</vt:lpstr>
      <vt:lpstr>_lZa8WGsBpZt</vt:lpstr>
      <vt:lpstr>_lzuWRVfUjkQ</vt:lpstr>
      <vt:lpstr>_M0jk7fncrWU</vt:lpstr>
      <vt:lpstr>_M1hZV0c1jpw</vt:lpstr>
      <vt:lpstr>_M1ZpUXbo7Ql</vt:lpstr>
      <vt:lpstr>_M22mM4UEDjy</vt:lpstr>
      <vt:lpstr>_m34Z24f4QiZ</vt:lpstr>
      <vt:lpstr>_m4eOcU1zHtL</vt:lpstr>
      <vt:lpstr>_m4Yz9Nz5Eir</vt:lpstr>
      <vt:lpstr>_m5NFJ1IxYaq</vt:lpstr>
      <vt:lpstr>_m5vdq5UM3B2</vt:lpstr>
      <vt:lpstr>_M6upUqnFt2Z</vt:lpstr>
      <vt:lpstr>_m7MTceflWz3</vt:lpstr>
      <vt:lpstr>_M9HrCkIwaKy</vt:lpstr>
      <vt:lpstr>_MaejJOaJVXy</vt:lpstr>
      <vt:lpstr>_maFtwxdHWuZ</vt:lpstr>
      <vt:lpstr>_MaLbWT81P7Q</vt:lpstr>
      <vt:lpstr>_MazllecOrQC</vt:lpstr>
      <vt:lpstr>_Mb9IYOFZYCv</vt:lpstr>
      <vt:lpstr>_MdkO4mttohH</vt:lpstr>
      <vt:lpstr>_mDSuyD9lOM5</vt:lpstr>
      <vt:lpstr>_me9uxUxkBIc</vt:lpstr>
      <vt:lpstr>_mEaeC6W4Oga</vt:lpstr>
      <vt:lpstr>_Mf7FROzUeWX</vt:lpstr>
      <vt:lpstr>_MfTwOXVWKnT</vt:lpstr>
      <vt:lpstr>_MFUxfSaYW2e</vt:lpstr>
      <vt:lpstr>_MFwYpsgHToP</vt:lpstr>
      <vt:lpstr>_mhWSEv79IJW</vt:lpstr>
      <vt:lpstr>_MHYeBrf0izN</vt:lpstr>
      <vt:lpstr>_MIa6TVKj2xo</vt:lpstr>
      <vt:lpstr>_MJEntShoQVK</vt:lpstr>
      <vt:lpstr>_Mk7P920hkBa</vt:lpstr>
      <vt:lpstr>_Ml6HBooImtM</vt:lpstr>
      <vt:lpstr>_MlBtet7M3rs</vt:lpstr>
      <vt:lpstr>_MLv07cjdiAn</vt:lpstr>
      <vt:lpstr>_mM3VtbRdurN</vt:lpstr>
      <vt:lpstr>_mmJUi0PpvGi</vt:lpstr>
      <vt:lpstr>_mNa42CHbkO7</vt:lpstr>
      <vt:lpstr>_MNblETb62a7</vt:lpstr>
      <vt:lpstr>_mnfnutsHsxh</vt:lpstr>
      <vt:lpstr>_mNiSSk0Sfgz</vt:lpstr>
      <vt:lpstr>_mOP4Sf5NwoV</vt:lpstr>
      <vt:lpstr>_mQOrGsSPzBX</vt:lpstr>
      <vt:lpstr>_MRM0ZIZFfVP</vt:lpstr>
      <vt:lpstr>_mSHa8SypYaJ</vt:lpstr>
      <vt:lpstr>_MSX2ncxe0gF</vt:lpstr>
      <vt:lpstr>_Mv3kaUwZXRq</vt:lpstr>
      <vt:lpstr>_mVxpfBydPB7</vt:lpstr>
      <vt:lpstr>_mx3f7jzRUn6</vt:lpstr>
      <vt:lpstr>_MXfWGD11wLh</vt:lpstr>
      <vt:lpstr>_MxK9mbc2OMv</vt:lpstr>
      <vt:lpstr>_MXXzDDuba8n</vt:lpstr>
      <vt:lpstr>_myv7amOYTHn</vt:lpstr>
      <vt:lpstr>_MYvkD09xyeq</vt:lpstr>
      <vt:lpstr>_MYxDpADjsxJ</vt:lpstr>
      <vt:lpstr>_mzBQp5cOihy</vt:lpstr>
      <vt:lpstr>_mZVNxEL1OKd</vt:lpstr>
      <vt:lpstr>_n1ptipI0iZU</vt:lpstr>
      <vt:lpstr>_n28aEFrTuRE</vt:lpstr>
      <vt:lpstr>_N3nYJ6ScaYx</vt:lpstr>
      <vt:lpstr>_N6pEEiEpNS1</vt:lpstr>
      <vt:lpstr>_n7GyaiCn7uH</vt:lpstr>
      <vt:lpstr>_n8iofJiiX4T</vt:lpstr>
      <vt:lpstr>_N9i1v07Ro0E</vt:lpstr>
      <vt:lpstr>_Nb8Gg5ZiX5c</vt:lpstr>
      <vt:lpstr>_nBLlavpOdkF</vt:lpstr>
      <vt:lpstr>_NC58vY6UBEk</vt:lpstr>
      <vt:lpstr>_Nf5yWoOEfSm</vt:lpstr>
      <vt:lpstr>_NgSatqCq1hB</vt:lpstr>
      <vt:lpstr>_ngUSWwX0Oby</vt:lpstr>
      <vt:lpstr>_Ngzlv0PnZHM</vt:lpstr>
      <vt:lpstr>_nhAPWwIgUCL</vt:lpstr>
      <vt:lpstr>_nHbFkXhZCiI</vt:lpstr>
      <vt:lpstr>_nHiJwDVwoBi</vt:lpstr>
      <vt:lpstr>_NhuW760cOQG</vt:lpstr>
      <vt:lpstr>_Ni2b6zYWjjT</vt:lpstr>
      <vt:lpstr>_NI4NAaV0hSh</vt:lpstr>
      <vt:lpstr>_nkvvH6QuQ8t</vt:lpstr>
      <vt:lpstr>_NkwjVn9Db6F</vt:lpstr>
      <vt:lpstr>_nLbuvx5jioD</vt:lpstr>
      <vt:lpstr>_nlUAhvWIgOU</vt:lpstr>
      <vt:lpstr>_Nlv8oKkoAwp</vt:lpstr>
      <vt:lpstr>_nNmvfTuUhng</vt:lpstr>
      <vt:lpstr>_NojSG8rZDfq</vt:lpstr>
      <vt:lpstr>_nOKbmhjyCYA</vt:lpstr>
      <vt:lpstr>_npSh7oFwczs</vt:lpstr>
      <vt:lpstr>_Nq0rzj9aWEV</vt:lpstr>
      <vt:lpstr>_nqLIz7qfuLu</vt:lpstr>
      <vt:lpstr>_Nrnay4JA8Ga</vt:lpstr>
      <vt:lpstr>_nS0ZJGJUX0u</vt:lpstr>
      <vt:lpstr>_nsI6nzlSumR</vt:lpstr>
      <vt:lpstr>_NUkOvK4bnj2</vt:lpstr>
      <vt:lpstr>_Nv40tdMXtFC</vt:lpstr>
      <vt:lpstr>_NvElx3aXZB2</vt:lpstr>
      <vt:lpstr>_NVuew7FtnQS</vt:lpstr>
      <vt:lpstr>_nW6KgPEVLIt</vt:lpstr>
      <vt:lpstr>_nWqgnOkihzf</vt:lpstr>
      <vt:lpstr>_nXfMiK28avb</vt:lpstr>
      <vt:lpstr>_NxQueFeUfa3</vt:lpstr>
      <vt:lpstr>_NZ7DsfjUbqo</vt:lpstr>
      <vt:lpstr>_NzGbnoHVMaF</vt:lpstr>
      <vt:lpstr>_Nzxhqg5ULhr</vt:lpstr>
      <vt:lpstr>_O0hWoXlHhIS</vt:lpstr>
      <vt:lpstr>_O0M73CspI2e</vt:lpstr>
      <vt:lpstr>_o1HqfAPcWtK</vt:lpstr>
      <vt:lpstr>_o2PYOw8PSBa</vt:lpstr>
      <vt:lpstr>_o2tDeZ7tB0l</vt:lpstr>
      <vt:lpstr>_O2vEtUZRIRh</vt:lpstr>
      <vt:lpstr>_O3JfrNS9Ewj</vt:lpstr>
      <vt:lpstr>_O7BGyJhV2Tc</vt:lpstr>
      <vt:lpstr>_O7xuokSXg4m</vt:lpstr>
      <vt:lpstr>_o8MW4iuLC95</vt:lpstr>
      <vt:lpstr>_O98HUAHsVSs</vt:lpstr>
      <vt:lpstr>_O9FGiWCttH4</vt:lpstr>
      <vt:lpstr>_OAaXg7NvGcx</vt:lpstr>
      <vt:lpstr>_OB65zPWgdfd</vt:lpstr>
      <vt:lpstr>_ObubT46sWpe</vt:lpstr>
      <vt:lpstr>_obXDv8Sm9yK</vt:lpstr>
      <vt:lpstr>_oDBd4Mj0Oc2</vt:lpstr>
      <vt:lpstr>_oDP0YtPBOVQ</vt:lpstr>
      <vt:lpstr>_OfROf5GmY2U</vt:lpstr>
      <vt:lpstr>_OFsiDpAC34b</vt:lpstr>
      <vt:lpstr>_oFXCMBtu71f</vt:lpstr>
      <vt:lpstr>_OFXJXWnOG0R</vt:lpstr>
      <vt:lpstr>_OGPzE4S9Lsk</vt:lpstr>
      <vt:lpstr>_OIIQM13YogD</vt:lpstr>
      <vt:lpstr>_OJVKXPCUetq</vt:lpstr>
      <vt:lpstr>_olAQlCURSQR</vt:lpstr>
      <vt:lpstr>_OMS7a4cxTLo</vt:lpstr>
      <vt:lpstr>_ON8DBreBXlt</vt:lpstr>
      <vt:lpstr>_oNyG3X3DPbz</vt:lpstr>
      <vt:lpstr>_oofyLUJJ6Vy</vt:lpstr>
      <vt:lpstr>_OpJzru7UHuG</vt:lpstr>
      <vt:lpstr>_oQLYNHgyejZ</vt:lpstr>
      <vt:lpstr>_oroMC4mMzMq</vt:lpstr>
      <vt:lpstr>_Osqz2NJoO0h</vt:lpstr>
      <vt:lpstr>_ot3GyBTHeKe</vt:lpstr>
      <vt:lpstr>_Ot71GbygcHf</vt:lpstr>
      <vt:lpstr>_oWNF4d3PK8C</vt:lpstr>
      <vt:lpstr>_oWqVbrpimjf</vt:lpstr>
      <vt:lpstr>_oy494aJtjTB</vt:lpstr>
      <vt:lpstr>_oy9zJeCRcHk</vt:lpstr>
      <vt:lpstr>_OyaYCadoBtb</vt:lpstr>
      <vt:lpstr>_OYoY16njQBO</vt:lpstr>
      <vt:lpstr>_p3raMKTiHsj</vt:lpstr>
      <vt:lpstr>_P3ZMsb6v3q7</vt:lpstr>
      <vt:lpstr>_P5jMO9Y0SRn</vt:lpstr>
      <vt:lpstr>_P5RXZZXrLGM</vt:lpstr>
      <vt:lpstr>_P6Si86K02do</vt:lpstr>
      <vt:lpstr>_P7NeDYkZMDT</vt:lpstr>
      <vt:lpstr>_pbH6bmcioGw</vt:lpstr>
      <vt:lpstr>_pbip5m1yf5Y</vt:lpstr>
      <vt:lpstr>_pDcP5F8H0hR</vt:lpstr>
      <vt:lpstr>_PDI1LOtG5mD</vt:lpstr>
      <vt:lpstr>_pDOTS19LDs1</vt:lpstr>
      <vt:lpstr>_PebkMQ9WtnK</vt:lpstr>
      <vt:lpstr>_PevCwH17M73</vt:lpstr>
      <vt:lpstr>_PFAtPR87fHs</vt:lpstr>
      <vt:lpstr>_pfhvgmllA9M</vt:lpstr>
      <vt:lpstr>_pGLy2Zj2lVg</vt:lpstr>
      <vt:lpstr>_phAahTmP3AP</vt:lpstr>
      <vt:lpstr>_PhGYsKg6Z64</vt:lpstr>
      <vt:lpstr>_pjDDwNroUiK</vt:lpstr>
      <vt:lpstr>_PJS910L8KtX</vt:lpstr>
      <vt:lpstr>_pl4ewykGEd1</vt:lpstr>
      <vt:lpstr>_Pls0CA73g64</vt:lpstr>
      <vt:lpstr>_pmcCjSU7an3</vt:lpstr>
      <vt:lpstr>_PMdpXC27ktm</vt:lpstr>
      <vt:lpstr>_PmJk7pg8ZH7</vt:lpstr>
      <vt:lpstr>_Pmr5vKV0JhS</vt:lpstr>
      <vt:lpstr>_pMukkUmnnkh</vt:lpstr>
      <vt:lpstr>_poDz4wDp6J0</vt:lpstr>
      <vt:lpstr>_pOUpImrRlyS</vt:lpstr>
      <vt:lpstr>_POUZYADWUp1</vt:lpstr>
      <vt:lpstr>_PpjdOoVUc7k</vt:lpstr>
      <vt:lpstr>_pqnXfUagaiY</vt:lpstr>
      <vt:lpstr>_PRFVamHB0VQ</vt:lpstr>
      <vt:lpstr>_PRrdILmQQb3</vt:lpstr>
      <vt:lpstr>_pRrlf6NYYmU</vt:lpstr>
      <vt:lpstr>_pS9QqWeC7OO</vt:lpstr>
      <vt:lpstr>_psjx0PchSPj</vt:lpstr>
      <vt:lpstr>_psQ1ZBzOwRm</vt:lpstr>
      <vt:lpstr>_pSRNRBuOBi8</vt:lpstr>
      <vt:lpstr>_Psx8w32IjKA</vt:lpstr>
      <vt:lpstr>_PtCFMK7nBkR</vt:lpstr>
      <vt:lpstr>_pTF4zHINsQO</vt:lpstr>
      <vt:lpstr>_ptLuUHEellT</vt:lpstr>
      <vt:lpstr>_PUaHSbd6T5T</vt:lpstr>
      <vt:lpstr>_pulohYIR6jX</vt:lpstr>
      <vt:lpstr>_puzqoVkC9bH</vt:lpstr>
      <vt:lpstr>_PvrMV4NjbtR</vt:lpstr>
      <vt:lpstr>_pWXXIlhZ8PI</vt:lpstr>
      <vt:lpstr>_pXmA8xcLcd9</vt:lpstr>
      <vt:lpstr>_PXZbVlkKwcw</vt:lpstr>
      <vt:lpstr>_PY4aKgi30fr</vt:lpstr>
      <vt:lpstr>_Pz0LCggcqES</vt:lpstr>
      <vt:lpstr>_pZph18i0E3N</vt:lpstr>
      <vt:lpstr>_pZZriU4sY0l</vt:lpstr>
      <vt:lpstr>_Q1qH1ilMK8i</vt:lpstr>
      <vt:lpstr>_q23bFLr2E5D</vt:lpstr>
      <vt:lpstr>_q2HqXV5OO3z</vt:lpstr>
      <vt:lpstr>_Q4I1zZfYXXc</vt:lpstr>
      <vt:lpstr>_q4n8NzDkE7D</vt:lpstr>
      <vt:lpstr>_q5LpwTe5bxM</vt:lpstr>
      <vt:lpstr>_Q7AJ1ykq09H</vt:lpstr>
      <vt:lpstr>_Q8De2VxoKXS</vt:lpstr>
      <vt:lpstr>_Q8jKkm7slV8</vt:lpstr>
      <vt:lpstr>_q9u7nkNkuGy</vt:lpstr>
      <vt:lpstr>_QayMME14lE1</vt:lpstr>
      <vt:lpstr>_qbqrFLCJewu</vt:lpstr>
      <vt:lpstr>_qCRmLPzIMfA</vt:lpstr>
      <vt:lpstr>_QdENg0i5gAN</vt:lpstr>
      <vt:lpstr>_QdpBLugMtqQ</vt:lpstr>
      <vt:lpstr>_qdxpgnOUeam</vt:lpstr>
      <vt:lpstr>_qE7bXo1gdhI</vt:lpstr>
      <vt:lpstr>_Qf4UX9h7VHw</vt:lpstr>
      <vt:lpstr>_qfVp6vFGOpZ</vt:lpstr>
      <vt:lpstr>_qfXgWkacWGi</vt:lpstr>
      <vt:lpstr>_qg3FIv25BEt</vt:lpstr>
      <vt:lpstr>_QhZPfMYBla6</vt:lpstr>
      <vt:lpstr>_qiy19S7ih95</vt:lpstr>
      <vt:lpstr>_QIZna0gogX9</vt:lpstr>
      <vt:lpstr>_qKf4eMvqKqq</vt:lpstr>
      <vt:lpstr>_QkOClVdLto1</vt:lpstr>
      <vt:lpstr>_QLERXr2o7IE</vt:lpstr>
      <vt:lpstr>_QLqvnN57uaj</vt:lpstr>
      <vt:lpstr>_qmsg1OVBqif</vt:lpstr>
      <vt:lpstr>_qpN0r5UFcPn</vt:lpstr>
      <vt:lpstr>_QPtnjdoIqnH</vt:lpstr>
      <vt:lpstr>_QqAzWHtJ8VC</vt:lpstr>
      <vt:lpstr>_QQIXTkQuD9z</vt:lpstr>
      <vt:lpstr>_qr8RGsOOdXn</vt:lpstr>
      <vt:lpstr>_qScWuUGR5yF</vt:lpstr>
      <vt:lpstr>_QSpLidCdqMU</vt:lpstr>
      <vt:lpstr>_qsXtuKShMVv</vt:lpstr>
      <vt:lpstr>_QtxlZLxjuRg</vt:lpstr>
      <vt:lpstr>_quQpOfBIDFC</vt:lpstr>
      <vt:lpstr>_QUUTx1RNwpi</vt:lpstr>
      <vt:lpstr>_QUXnEwBKOCt</vt:lpstr>
      <vt:lpstr>_qV0jUJzFUER</vt:lpstr>
      <vt:lpstr>_QvnSCGMRuiV</vt:lpstr>
      <vt:lpstr>_qwrS0zi07SD</vt:lpstr>
      <vt:lpstr>_QxPGLy2DUhG</vt:lpstr>
      <vt:lpstr>_Qy71EkOy7om</vt:lpstr>
      <vt:lpstr>_qzgmWRFev5J</vt:lpstr>
      <vt:lpstr>_r2DSRRcdILk</vt:lpstr>
      <vt:lpstr>_R57TSpcjbOf</vt:lpstr>
      <vt:lpstr>_r6GyNE6sV58</vt:lpstr>
      <vt:lpstr>_rb6V38jgfFc</vt:lpstr>
      <vt:lpstr>_rBKkHNAdzhB</vt:lpstr>
      <vt:lpstr>_RCcjOgia5lC</vt:lpstr>
      <vt:lpstr>_rdiq6QPpJC7</vt:lpstr>
      <vt:lpstr>_RDiXMdNXg16</vt:lpstr>
      <vt:lpstr>_RdP4lkM83cM</vt:lpstr>
      <vt:lpstr>_rEQqufy2KNi</vt:lpstr>
      <vt:lpstr>_rEUC186wftQ</vt:lpstr>
      <vt:lpstr>_RfqYbGs8Za9</vt:lpstr>
      <vt:lpstr>_rgozN0dmixB</vt:lpstr>
      <vt:lpstr>_rhcIHVJ1RxM</vt:lpstr>
      <vt:lpstr>_rhltpqitzC9</vt:lpstr>
      <vt:lpstr>_Ri2tb7LBVtP</vt:lpstr>
      <vt:lpstr>_rIchxlzx0E0</vt:lpstr>
      <vt:lpstr>_rJ2dfIqC23R</vt:lpstr>
      <vt:lpstr>_RJERO5G7Od7</vt:lpstr>
      <vt:lpstr>_rjQiZlCjHp6</vt:lpstr>
      <vt:lpstr>_rJSdwEyXgfh</vt:lpstr>
      <vt:lpstr>_RK9mngtJtTL</vt:lpstr>
      <vt:lpstr>_RLUq9bhLRJW</vt:lpstr>
      <vt:lpstr>_Rmy6DbwekE1</vt:lpstr>
      <vt:lpstr>_RNCFRfcGsEq</vt:lpstr>
      <vt:lpstr>_rotANIe2GHX</vt:lpstr>
      <vt:lpstr>_ROyKFEvDgAp</vt:lpstr>
      <vt:lpstr>_rQbVIOyPNHb</vt:lpstr>
      <vt:lpstr>_rr5X0uhJKl5</vt:lpstr>
      <vt:lpstr>_rRfHbsBLHRx</vt:lpstr>
      <vt:lpstr>_RrkLjvYsNeY</vt:lpstr>
      <vt:lpstr>_RRV32wU5Sk1</vt:lpstr>
      <vt:lpstr>_RsBAd46LBnm</vt:lpstr>
      <vt:lpstr>_rsGK1D0Xkfj</vt:lpstr>
      <vt:lpstr>_rsmgY2HkHEf</vt:lpstr>
      <vt:lpstr>_rsyymElP56r</vt:lpstr>
      <vt:lpstr>_RTdjvXHJdnH</vt:lpstr>
      <vt:lpstr>_rtLnlu4GUI2</vt:lpstr>
      <vt:lpstr>_RV524jaqnsU</vt:lpstr>
      <vt:lpstr>_rvsb7MLMUbV</vt:lpstr>
      <vt:lpstr>_ry2NWNkjLq3</vt:lpstr>
      <vt:lpstr>_RyAd6laKg3U</vt:lpstr>
      <vt:lpstr>_RZ7aFEnVbGT</vt:lpstr>
      <vt:lpstr>_rzA9f0pqcz8</vt:lpstr>
      <vt:lpstr>_RZezdwRO5a8</vt:lpstr>
      <vt:lpstr>_rzOMBqJQhrD</vt:lpstr>
      <vt:lpstr>_S0YQ604HS5J</vt:lpstr>
      <vt:lpstr>_s10VCchdlnY</vt:lpstr>
      <vt:lpstr>_s1mzBU7YOaZ</vt:lpstr>
      <vt:lpstr>_s21anKTNgkF</vt:lpstr>
      <vt:lpstr>_S52uSY3lb8V</vt:lpstr>
      <vt:lpstr>_s5mo8EjeKiY</vt:lpstr>
      <vt:lpstr>_S7v70E5unBv</vt:lpstr>
      <vt:lpstr>_S8oIZdNn50G</vt:lpstr>
      <vt:lpstr>_s92LZ9RuhaG</vt:lpstr>
      <vt:lpstr>_sAC6z2IMFrR</vt:lpstr>
      <vt:lpstr>_sAiWHWYnsk1</vt:lpstr>
      <vt:lpstr>_SaqEwr5B5dd</vt:lpstr>
      <vt:lpstr>_SAsS1Kwc4iW</vt:lpstr>
      <vt:lpstr>_SbearYuCfX5</vt:lpstr>
      <vt:lpstr>_sbIyFRN4j0N</vt:lpstr>
      <vt:lpstr>_Sbk9iH85Ltm</vt:lpstr>
      <vt:lpstr>_SDcGmbcJtvd</vt:lpstr>
      <vt:lpstr>_sdCYhjOxnoD</vt:lpstr>
      <vt:lpstr>_sFlo2nMKUjV</vt:lpstr>
      <vt:lpstr>_sg5v6c9tCZ3</vt:lpstr>
      <vt:lpstr>_SGeK38mtNgA</vt:lpstr>
      <vt:lpstr>_sHcFoPbjSrP</vt:lpstr>
      <vt:lpstr>_shRXArPWh8H</vt:lpstr>
      <vt:lpstr>_ShycShOYDCy</vt:lpstr>
      <vt:lpstr>_sj4i9BflXvh</vt:lpstr>
      <vt:lpstr>_sJuInXfi09r</vt:lpstr>
      <vt:lpstr>_sjuX99wm7IZ</vt:lpstr>
      <vt:lpstr>_sL6GUzUS18c</vt:lpstr>
      <vt:lpstr>_SlA9m2ZX9XS</vt:lpstr>
      <vt:lpstr>_slhvGcmFwtM</vt:lpstr>
      <vt:lpstr>_smlHQk2gqIf</vt:lpstr>
      <vt:lpstr>_sn72zXVjAF8</vt:lpstr>
      <vt:lpstr>_SNMxQRPYRm7</vt:lpstr>
      <vt:lpstr>_SnYHrnchKjL</vt:lpstr>
      <vt:lpstr>_SOU2X25z1dq</vt:lpstr>
      <vt:lpstr>_SPcq2CZFyzT</vt:lpstr>
      <vt:lpstr>_sPP5gqI4TC8</vt:lpstr>
      <vt:lpstr>_srcYifXOgXq</vt:lpstr>
      <vt:lpstr>_sRfhRRpv2rH</vt:lpstr>
      <vt:lpstr>_SRSiY1qW6W8</vt:lpstr>
      <vt:lpstr>_sRVnECfvFs7</vt:lpstr>
      <vt:lpstr>_SsAjVE1S87E</vt:lpstr>
      <vt:lpstr>_sSIYRwB1r74</vt:lpstr>
      <vt:lpstr>_St1b2AfFxLb</vt:lpstr>
      <vt:lpstr>_ST86paYjRHP</vt:lpstr>
      <vt:lpstr>_StFfGxHbuDF</vt:lpstr>
      <vt:lpstr>_sV8cE4AX2yl</vt:lpstr>
      <vt:lpstr>_sW496bvfky8</vt:lpstr>
      <vt:lpstr>_swjTZ93dg4h</vt:lpstr>
      <vt:lpstr>_sYJkQfzW1BG</vt:lpstr>
      <vt:lpstr>_sYXjZhknWsi</vt:lpstr>
      <vt:lpstr>_SZ3nIBbJDHd</vt:lpstr>
      <vt:lpstr>_SZ4eyjPLeyA</vt:lpstr>
      <vt:lpstr>_T00uTw1c2eR</vt:lpstr>
      <vt:lpstr>_T10hGZHcK7q</vt:lpstr>
      <vt:lpstr>_T1B1YJROUum</vt:lpstr>
      <vt:lpstr>_T1irZBQ9gNW</vt:lpstr>
      <vt:lpstr>_T1or0EcEX2V</vt:lpstr>
      <vt:lpstr>_T27BlFRfKBB</vt:lpstr>
      <vt:lpstr>_t5jOlOCqSr3</vt:lpstr>
      <vt:lpstr>_T7bTbB8YvsQ</vt:lpstr>
      <vt:lpstr>_T7KjtN9SenL</vt:lpstr>
      <vt:lpstr>_T7tKHiW1Db1</vt:lpstr>
      <vt:lpstr>_Ta8ifRxwOmP</vt:lpstr>
      <vt:lpstr>_tcfeFTkd9ke</vt:lpstr>
      <vt:lpstr>_TcSxFdjVWEh</vt:lpstr>
      <vt:lpstr>_TCVfWydCsa4</vt:lpstr>
      <vt:lpstr>_tDFavWinSwr</vt:lpstr>
      <vt:lpstr>_TdZ7GfhQW7O</vt:lpstr>
      <vt:lpstr>_TE5sao73qRm</vt:lpstr>
      <vt:lpstr>_tejOvb3YNOT</vt:lpstr>
      <vt:lpstr>_tg1pZyQC7LX</vt:lpstr>
      <vt:lpstr>_TIhakAVsQwM</vt:lpstr>
      <vt:lpstr>_tjT8FgtoZmV</vt:lpstr>
      <vt:lpstr>_tk8INObuVAv</vt:lpstr>
      <vt:lpstr>_tkCXuIKxKvK</vt:lpstr>
      <vt:lpstr>_TldYkeCwb5r</vt:lpstr>
      <vt:lpstr>_tnPO3Tkofqr</vt:lpstr>
      <vt:lpstr>_tnTRnfd2aVs</vt:lpstr>
      <vt:lpstr>_Tp6ETHHL2va</vt:lpstr>
      <vt:lpstr>_tPCE4uhj0hy</vt:lpstr>
      <vt:lpstr>_TpDwlm2Spev</vt:lpstr>
      <vt:lpstr>_tqciYTsRsV1</vt:lpstr>
      <vt:lpstr>_Tr4i6jeDDqj</vt:lpstr>
      <vt:lpstr>_TRB0RlFABNw</vt:lpstr>
      <vt:lpstr>_true</vt:lpstr>
      <vt:lpstr>_tSBEjAHKj9V</vt:lpstr>
      <vt:lpstr>_tsd2otYofQa</vt:lpstr>
      <vt:lpstr>_TTLIv7PVhKo</vt:lpstr>
      <vt:lpstr>_TTQ6WgBHZUZ</vt:lpstr>
      <vt:lpstr>_TTWJ58v2frD</vt:lpstr>
      <vt:lpstr>_tu2P5ALJRow</vt:lpstr>
      <vt:lpstr>_Tu5X9QCLC67</vt:lpstr>
      <vt:lpstr>_Tu64Vt7gv8M</vt:lpstr>
      <vt:lpstr>_tV0rWhHr9cj</vt:lpstr>
      <vt:lpstr>_tVFw2UJiuvo</vt:lpstr>
      <vt:lpstr>_tWbJWEUNu2F</vt:lpstr>
      <vt:lpstr>_tWmFeJagj87</vt:lpstr>
      <vt:lpstr>_tWMp2gMdZVY</vt:lpstr>
      <vt:lpstr>_TWyMjVaaxmT</vt:lpstr>
      <vt:lpstr>_TxYXq9qqMJt</vt:lpstr>
      <vt:lpstr>_tyyxKXZbYjI</vt:lpstr>
      <vt:lpstr>_tZ3CM9qXx2R</vt:lpstr>
      <vt:lpstr>_tZftZ03eewT</vt:lpstr>
      <vt:lpstr>_U0YDqrjO4sv</vt:lpstr>
      <vt:lpstr>_u1aymSGFTqA</vt:lpstr>
      <vt:lpstr>_U20BELNfToU</vt:lpstr>
      <vt:lpstr>_U30oYXdSWTe</vt:lpstr>
      <vt:lpstr>_u3GOCB1Hu01</vt:lpstr>
      <vt:lpstr>_u3t1gIXW3Bh</vt:lpstr>
      <vt:lpstr>_u4evyxHktVP</vt:lpstr>
      <vt:lpstr>_U5QaBXGsFlJ</vt:lpstr>
      <vt:lpstr>_u7H4MyT2Y0A</vt:lpstr>
      <vt:lpstr>_u7WSQpbLBGs</vt:lpstr>
      <vt:lpstr>_u8eW1I03rvW</vt:lpstr>
      <vt:lpstr>_Ua4F7QDEr8y</vt:lpstr>
      <vt:lpstr>_uAB8kfk7I3z</vt:lpstr>
      <vt:lpstr>_uBsAlWtPLFK</vt:lpstr>
      <vt:lpstr>_uc8uSqVVt4n</vt:lpstr>
      <vt:lpstr>_UcfAgoEEjT2</vt:lpstr>
      <vt:lpstr>_ud6YiQ9ekgi</vt:lpstr>
      <vt:lpstr>_ugQXiXF3q1v</vt:lpstr>
      <vt:lpstr>_uHCDEltKEA6</vt:lpstr>
      <vt:lpstr>_UhjNBiB6vBb</vt:lpstr>
      <vt:lpstr>_uIUcjj7o0UF</vt:lpstr>
      <vt:lpstr>_uj0O9RhtzD8</vt:lpstr>
      <vt:lpstr>_UJVEh0g7qOo</vt:lpstr>
      <vt:lpstr>_UJw5MYbIpv9</vt:lpstr>
      <vt:lpstr>_UKbfaRlqkpY</vt:lpstr>
      <vt:lpstr>_UKk45hewbPH</vt:lpstr>
      <vt:lpstr>_UlQiEogy3wG</vt:lpstr>
      <vt:lpstr>_umZdylabnsy</vt:lpstr>
      <vt:lpstr>_UN1GGvFlETF</vt:lpstr>
      <vt:lpstr>_uNIgpV4l21k</vt:lpstr>
      <vt:lpstr>_uNJCzPnnWNW</vt:lpstr>
      <vt:lpstr>_unqbIiA0uir</vt:lpstr>
      <vt:lpstr>_uNU2FnjI5ep</vt:lpstr>
      <vt:lpstr>_uoqUo1n2Bbr</vt:lpstr>
      <vt:lpstr>_uQaaJtnfFWM</vt:lpstr>
      <vt:lpstr>_uQe1J0rpnwS</vt:lpstr>
      <vt:lpstr>_uqXIaHP9Gxr</vt:lpstr>
      <vt:lpstr>_uqzqgaYByJq</vt:lpstr>
      <vt:lpstr>_Ur5rF3mTRba</vt:lpstr>
      <vt:lpstr>_UTDBwK73RlG</vt:lpstr>
      <vt:lpstr>_UTEeOMyhBoY</vt:lpstr>
      <vt:lpstr>_uTwQaiIEDk6</vt:lpstr>
      <vt:lpstr>_Uubd1dIoT4W</vt:lpstr>
      <vt:lpstr>_uuHjvQ3uSjS</vt:lpstr>
      <vt:lpstr>_UVmyzENvSiy</vt:lpstr>
      <vt:lpstr>_uvTw0Kus5KZ</vt:lpstr>
      <vt:lpstr>_UygxXF1MN03</vt:lpstr>
      <vt:lpstr>_uynThwppKeS</vt:lpstr>
      <vt:lpstr>_uzy03WEvMkk</vt:lpstr>
      <vt:lpstr>_v2B5AtYQV8H</vt:lpstr>
      <vt:lpstr>_v2CCdaKGum8</vt:lpstr>
      <vt:lpstr>_V5rMEsxYhaF</vt:lpstr>
      <vt:lpstr>_v6OkaCDmX5Y</vt:lpstr>
      <vt:lpstr>_v8Xnaigda7O</vt:lpstr>
      <vt:lpstr>_Va9QjeOhGZa</vt:lpstr>
      <vt:lpstr>_VbbSe7wgS9s</vt:lpstr>
      <vt:lpstr>_vboedbUs1As</vt:lpstr>
      <vt:lpstr>_vC3F2X3f9qG</vt:lpstr>
      <vt:lpstr>_vC7IrqyGFKF</vt:lpstr>
      <vt:lpstr>_vCaW1uucv0A</vt:lpstr>
      <vt:lpstr>_vCOrIolhyxP</vt:lpstr>
      <vt:lpstr>_VCVhaAxv3AP</vt:lpstr>
      <vt:lpstr>_vD8z84b3gTt</vt:lpstr>
      <vt:lpstr>_VDeI2btrNih</vt:lpstr>
      <vt:lpstr>_vDp3u0DJlrK</vt:lpstr>
      <vt:lpstr>_vFG4awbDk0I</vt:lpstr>
      <vt:lpstr>_vFHz3MkTm0K</vt:lpstr>
      <vt:lpstr>_vg4b11FL2Gl</vt:lpstr>
      <vt:lpstr>_VGOzFKfSazN</vt:lpstr>
      <vt:lpstr>_Vhd5ir4RuJW</vt:lpstr>
      <vt:lpstr>_vhjxKd80p4D</vt:lpstr>
      <vt:lpstr>_ViLbVtzGWM5</vt:lpstr>
      <vt:lpstr>_viM9AeYtFV6</vt:lpstr>
      <vt:lpstr>_VIMlhSMF1Yl</vt:lpstr>
      <vt:lpstr>_VioJV8V3lMO</vt:lpstr>
      <vt:lpstr>_VIWOOPfPUnX</vt:lpstr>
      <vt:lpstr>_VjdgVLwPWfZ</vt:lpstr>
      <vt:lpstr>_VJrTuNXAg9G</vt:lpstr>
      <vt:lpstr>_vkXlj7ZPkGi</vt:lpstr>
      <vt:lpstr>_Vlqc8aT5PAo</vt:lpstr>
      <vt:lpstr>_VLSa4evEl7A</vt:lpstr>
      <vt:lpstr>_VmhSidKIxMp</vt:lpstr>
      <vt:lpstr>_VMqDEughMuP</vt:lpstr>
      <vt:lpstr>_vnbnnSZXGTv</vt:lpstr>
      <vt:lpstr>_VnTycSnraEY</vt:lpstr>
      <vt:lpstr>_vnulYqEDjxA</vt:lpstr>
      <vt:lpstr>_vnwzR6DohHp</vt:lpstr>
      <vt:lpstr>_VOFBd8mUdSi</vt:lpstr>
      <vt:lpstr>_voFQpOGhWOo</vt:lpstr>
      <vt:lpstr>_VPesUmegQpP</vt:lpstr>
      <vt:lpstr>_vPoFz9J1v6Y</vt:lpstr>
      <vt:lpstr>_VPShWMVpQkb</vt:lpstr>
      <vt:lpstr>_Vqp2vUC4Umk</vt:lpstr>
      <vt:lpstr>_VTEggpkf7x1</vt:lpstr>
      <vt:lpstr>_vtidz1k9BOw</vt:lpstr>
      <vt:lpstr>_vtjakFLImYg</vt:lpstr>
      <vt:lpstr>_vTu1WOspiNq</vt:lpstr>
      <vt:lpstr>_vwj0hgJQQ8O</vt:lpstr>
      <vt:lpstr>_vwjIQ9qMI2Y</vt:lpstr>
      <vt:lpstr>_VwqhqUCaMgk</vt:lpstr>
      <vt:lpstr>_VxD9oa7UFFY</vt:lpstr>
      <vt:lpstr>_Vy4zROU78hr</vt:lpstr>
      <vt:lpstr>_VYVKdqiXo4b</vt:lpstr>
      <vt:lpstr>_vZfb8jHv6hE</vt:lpstr>
      <vt:lpstr>_VZnZ8xJoaIW</vt:lpstr>
      <vt:lpstr>_W1OgOlx2UPS</vt:lpstr>
      <vt:lpstr>_w2TnBNQfOW1</vt:lpstr>
      <vt:lpstr>_w3IJVQhc8Rm</vt:lpstr>
      <vt:lpstr>_W4IjHlh3nqi</vt:lpstr>
      <vt:lpstr>_w5pFdpuCUW7</vt:lpstr>
      <vt:lpstr>_w9b8i3HljgB</vt:lpstr>
      <vt:lpstr>_WAA3Uun62pk</vt:lpstr>
      <vt:lpstr>_WApLDd37Yj2</vt:lpstr>
      <vt:lpstr>_wbE8v4xoinz</vt:lpstr>
      <vt:lpstr>_WC5rU5fLMzY</vt:lpstr>
      <vt:lpstr>_wcnRf5LJrnK</vt:lpstr>
      <vt:lpstr>_weJ3sYiNE8D</vt:lpstr>
      <vt:lpstr>_weKsEzlw3cl</vt:lpstr>
      <vt:lpstr>_wFkq5oB0dFS</vt:lpstr>
      <vt:lpstr>_wFsm98Bnf40</vt:lpstr>
      <vt:lpstr>_wichhHKwKBi</vt:lpstr>
      <vt:lpstr>_wimH12ukPK5</vt:lpstr>
      <vt:lpstr>_wJ4GvUwxS9G</vt:lpstr>
      <vt:lpstr>_wj7iV08dvFq</vt:lpstr>
      <vt:lpstr>_Wl6fGTpQ2aN</vt:lpstr>
      <vt:lpstr>_wlPajJhqkui</vt:lpstr>
      <vt:lpstr>_wMTP4GblKr8</vt:lpstr>
      <vt:lpstr>_wnuoeS9sVZR</vt:lpstr>
      <vt:lpstr>_wp6tV9if1us</vt:lpstr>
      <vt:lpstr>_wP7Lmrb01c3</vt:lpstr>
      <vt:lpstr>_WPM1HkXyf6Z</vt:lpstr>
      <vt:lpstr>_Wpzccx0vjIP</vt:lpstr>
      <vt:lpstr>_wQ1FfvMZU9a</vt:lpstr>
      <vt:lpstr>_wqVNgMM4Qre</vt:lpstr>
      <vt:lpstr>_wrceD1un08Y</vt:lpstr>
      <vt:lpstr>_wSbrjoq0URr</vt:lpstr>
      <vt:lpstr>_WsiM5PuBhjx</vt:lpstr>
      <vt:lpstr>_WsVBFxzWhi1</vt:lpstr>
      <vt:lpstr>_WtcZBCTspgM</vt:lpstr>
      <vt:lpstr>_wTnjwDdCIrS</vt:lpstr>
      <vt:lpstr>_WtrglwVLwRf</vt:lpstr>
      <vt:lpstr>_wUBWZEHJm6Q</vt:lpstr>
      <vt:lpstr>_WuQvgvXKamv</vt:lpstr>
      <vt:lpstr>_WVEV44P6jtl</vt:lpstr>
      <vt:lpstr>_wvIYNx8b7rt</vt:lpstr>
      <vt:lpstr>_WWvCQd9sUdJ</vt:lpstr>
      <vt:lpstr>_WXGcnQWJ0Qd</vt:lpstr>
      <vt:lpstr>_WXgZfcbtl5R</vt:lpstr>
      <vt:lpstr>_wXKdiD7gHdx</vt:lpstr>
      <vt:lpstr>_wxLx6U3Q7SB</vt:lpstr>
      <vt:lpstr>_wyKC2eWRH3y</vt:lpstr>
      <vt:lpstr>_wywD4cOewZX</vt:lpstr>
      <vt:lpstr>_wZhrcYrffI6</vt:lpstr>
      <vt:lpstr>_WzTFiecwTNZ</vt:lpstr>
      <vt:lpstr>_WzTgSXcUNIu</vt:lpstr>
      <vt:lpstr>_x01fgjhSf20</vt:lpstr>
      <vt:lpstr>_x1Ph1zvWDtl</vt:lpstr>
      <vt:lpstr>_X2GCXVmZeEF</vt:lpstr>
      <vt:lpstr>_x6DVvicRjYC</vt:lpstr>
      <vt:lpstr>_XAFQH7WySNo</vt:lpstr>
      <vt:lpstr>_xb2ezJcUoSR</vt:lpstr>
      <vt:lpstr>_XB5JA2zOjnB</vt:lpstr>
      <vt:lpstr>_xB6nQN5Wtpg</vt:lpstr>
      <vt:lpstr>_XbTx2aGNiKd</vt:lpstr>
      <vt:lpstr>_xcotqxKxwlL</vt:lpstr>
      <vt:lpstr>_XCSnh8ISj81</vt:lpstr>
      <vt:lpstr>_XCsof9AN6rv</vt:lpstr>
      <vt:lpstr>_XebDUbuPqVx</vt:lpstr>
      <vt:lpstr>_xEMVRPiS0JA</vt:lpstr>
      <vt:lpstr>_XeWqwCw9G5s</vt:lpstr>
      <vt:lpstr>_Xfwd0faXfy0</vt:lpstr>
      <vt:lpstr>_xgbBSeyiDWp</vt:lpstr>
      <vt:lpstr>_xh8g6j8SEXR</vt:lpstr>
      <vt:lpstr>_XI9W6umECmC</vt:lpstr>
      <vt:lpstr>_xIAzxxogcd0</vt:lpstr>
      <vt:lpstr>_XIHIwocWj9J</vt:lpstr>
      <vt:lpstr>_xIJxneZjiWm</vt:lpstr>
      <vt:lpstr>_XjHXb0aFH5w</vt:lpstr>
      <vt:lpstr>_XJscL6IuHpd</vt:lpstr>
      <vt:lpstr>_XKKI1hhyFxk</vt:lpstr>
      <vt:lpstr>_xl2h6v1N72r</vt:lpstr>
      <vt:lpstr>_XMzAw0vw5Ep</vt:lpstr>
      <vt:lpstr>_XOuEbu7a0Fn</vt:lpstr>
      <vt:lpstr>_XoyjW58PrHc</vt:lpstr>
      <vt:lpstr>_xpa2vZRWT7M</vt:lpstr>
      <vt:lpstr>_XpFH2HpqD2R</vt:lpstr>
      <vt:lpstr>_xqjIL1cGrl1</vt:lpstr>
      <vt:lpstr>_Xr12mI7VPn3</vt:lpstr>
      <vt:lpstr>_xsXII0TZ5TD</vt:lpstr>
      <vt:lpstr>_xTOiNS0zd6y</vt:lpstr>
      <vt:lpstr>_XTvbzm2HwCZ</vt:lpstr>
      <vt:lpstr>_xUbrx2VHCy1</vt:lpstr>
      <vt:lpstr>_xVfmJLKTvoj</vt:lpstr>
      <vt:lpstr>_XVRPTXuJBQe</vt:lpstr>
      <vt:lpstr>_Xw3tkU97nlR</vt:lpstr>
      <vt:lpstr>_XW4cMFJ3IPd</vt:lpstr>
      <vt:lpstr>_xxeHTOGKpCJ</vt:lpstr>
      <vt:lpstr>_XxT1SCRuVDD</vt:lpstr>
      <vt:lpstr>_xY8dqpdkFDy</vt:lpstr>
      <vt:lpstr>_Xya97JPAwJP</vt:lpstr>
      <vt:lpstr>_XyCaF8fUivl</vt:lpstr>
      <vt:lpstr>_XYpsN5j30R9</vt:lpstr>
      <vt:lpstr>_xz2VQl9nOPd</vt:lpstr>
      <vt:lpstr>_Xz7rnovuiOx</vt:lpstr>
      <vt:lpstr>_Y0Al3lbaiSd</vt:lpstr>
      <vt:lpstr>_y18n64afzoH</vt:lpstr>
      <vt:lpstr>_Y1v6mwcswYO</vt:lpstr>
      <vt:lpstr>_y2QmWTVJ0F0</vt:lpstr>
      <vt:lpstr>_y44lwVkMgYI</vt:lpstr>
      <vt:lpstr>_y582ESg0Vjo</vt:lpstr>
      <vt:lpstr>_Y5XqolkuMAw</vt:lpstr>
      <vt:lpstr>_Y7fcspgsU43</vt:lpstr>
      <vt:lpstr>_Y8Hqecy92p5</vt:lpstr>
      <vt:lpstr>_y99mLrfSDOg</vt:lpstr>
      <vt:lpstr>_yBqy4nxuOCA</vt:lpstr>
      <vt:lpstr>_YciopOYKXgG</vt:lpstr>
      <vt:lpstr>_YDDLRoVNxAB</vt:lpstr>
      <vt:lpstr>_yDEKhOz2lvV</vt:lpstr>
      <vt:lpstr>_yelUZHtyQ3J</vt:lpstr>
      <vt:lpstr>_YFD6ZCWbKXZ</vt:lpstr>
      <vt:lpstr>_Yg9QkNQk9p7</vt:lpstr>
      <vt:lpstr>_yHj8L43hqYg</vt:lpstr>
      <vt:lpstr>_yHo3KEImkCI</vt:lpstr>
      <vt:lpstr>_yj5jWkUtBa9</vt:lpstr>
      <vt:lpstr>_YkjANXB0C7q</vt:lpstr>
      <vt:lpstr>_yKNKfokBA9x</vt:lpstr>
      <vt:lpstr>_YLgpCsLXIoM</vt:lpstr>
      <vt:lpstr>_Ymv0b3wTer7</vt:lpstr>
      <vt:lpstr>_yoh1AojJqBm</vt:lpstr>
      <vt:lpstr>_YOL13ptz4ef</vt:lpstr>
      <vt:lpstr>_yQRwk01YBir</vt:lpstr>
      <vt:lpstr>_yRAQ7e6fhhL</vt:lpstr>
      <vt:lpstr>_YRiW2W5rC6r</vt:lpstr>
      <vt:lpstr>_YrntQdj71b7</vt:lpstr>
      <vt:lpstr>_yrP0fOB2Yxv</vt:lpstr>
      <vt:lpstr>_ysEbNJwwJUO</vt:lpstr>
      <vt:lpstr>_YSl2WAd1E5g</vt:lpstr>
      <vt:lpstr>_YuLaFfZxTwJ</vt:lpstr>
      <vt:lpstr>_Yv8K7LjMgnb</vt:lpstr>
      <vt:lpstr>_YVaNna0lZTZ</vt:lpstr>
      <vt:lpstr>_YvRkyv7LXzq</vt:lpstr>
      <vt:lpstr>_ywCZ6qdZsCX</vt:lpstr>
      <vt:lpstr>_yWUBDj8Vyha</vt:lpstr>
      <vt:lpstr>_Yxkvq7nmosQ</vt:lpstr>
      <vt:lpstr>_yYCFsDkV7gN</vt:lpstr>
      <vt:lpstr>_Yz371d8I7vi</vt:lpstr>
      <vt:lpstr>_yzAMOdV0Pmr</vt:lpstr>
      <vt:lpstr>_Z0aVan7vD82</vt:lpstr>
      <vt:lpstr>_Z0GzM9tZy61</vt:lpstr>
      <vt:lpstr>_Z0JOHO0MdAY</vt:lpstr>
      <vt:lpstr>_z51rgcc5R8V</vt:lpstr>
      <vt:lpstr>_z5MSkYMyUDA</vt:lpstr>
      <vt:lpstr>_z5ouOuycTPO</vt:lpstr>
      <vt:lpstr>_z6awB2DkDD5</vt:lpstr>
      <vt:lpstr>_z8JPjc7MYwc</vt:lpstr>
      <vt:lpstr>_Z9BFNSjihv8</vt:lpstr>
      <vt:lpstr>_zA5RHKBta1T</vt:lpstr>
      <vt:lpstr>_zaluKz5Llai</vt:lpstr>
      <vt:lpstr>_ZaQ394eW9pZ</vt:lpstr>
      <vt:lpstr>_Zav7juzGmEo</vt:lpstr>
      <vt:lpstr>_ZcrjvJaYQb7</vt:lpstr>
      <vt:lpstr>_Zdl3ad7PayF</vt:lpstr>
      <vt:lpstr>_zdnpGy5G70E</vt:lpstr>
      <vt:lpstr>_zdQFHA4QUXY</vt:lpstr>
      <vt:lpstr>_zexkIIZrZ3B</vt:lpstr>
      <vt:lpstr>_zEYrsiNUGIo</vt:lpstr>
      <vt:lpstr>_zFInPJBZVbN</vt:lpstr>
      <vt:lpstr>_zg6B0qb5NY3</vt:lpstr>
      <vt:lpstr>_zgEzHh22TAi</vt:lpstr>
      <vt:lpstr>_Zgk5mud8930</vt:lpstr>
      <vt:lpstr>_zGNcDLRXn25</vt:lpstr>
      <vt:lpstr>_ZgsdoEiTlLq</vt:lpstr>
      <vt:lpstr>_zjbkGM5ctDz</vt:lpstr>
      <vt:lpstr>_ZmHQN5npDGX</vt:lpstr>
      <vt:lpstr>_zmJu31AVVts</vt:lpstr>
      <vt:lpstr>_ZO5braqROk6</vt:lpstr>
      <vt:lpstr>_zOt4KjY6v7C</vt:lpstr>
      <vt:lpstr>_zpak4f1pJTR</vt:lpstr>
      <vt:lpstr>_ZPgTreSg9Xd</vt:lpstr>
      <vt:lpstr>_ZqdYTyLLuyL</vt:lpstr>
      <vt:lpstr>_ZRxKEGQmkWI</vt:lpstr>
      <vt:lpstr>_zs2x5LAeI3t</vt:lpstr>
      <vt:lpstr>_ZtjIuqdv5S7</vt:lpstr>
      <vt:lpstr>_ZtOP8DdFvEK</vt:lpstr>
      <vt:lpstr>_Zu69ozCInhL</vt:lpstr>
      <vt:lpstr>_zuo1JfCpvs5</vt:lpstr>
      <vt:lpstr>_zv4Jk259Ks7</vt:lpstr>
      <vt:lpstr>_zVBLVa1TCTI</vt:lpstr>
      <vt:lpstr>_zWqYNMlrEgt</vt:lpstr>
      <vt:lpstr>_ZY2zA1wfmQK</vt:lpstr>
      <vt:lpstr>_ZYAiR4JMIrY</vt:lpstr>
      <vt:lpstr>_ZyDNe6r8Rcu</vt:lpstr>
      <vt:lpstr>_zYQqFxQw5jj</vt:lpstr>
      <vt:lpstr>_ZzJzGAncRcN</vt:lpstr>
      <vt:lpstr>_ZzoDfdWIt6z</vt:lpstr>
      <vt:lpstr>_ZzxjmR8ys0i</vt:lpstr>
      <vt:lpstr>SourceType!Q</vt:lpstr>
      <vt:lpstr>Version_NHWA_MODULE_1_v2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</dc:creator>
  <cp:lastModifiedBy>Bonsoul Arani Bosire</cp:lastModifiedBy>
  <dcterms:created xsi:type="dcterms:W3CDTF">2017-07-03T17:50:47Z</dcterms:created>
  <dcterms:modified xsi:type="dcterms:W3CDTF">2025-04-17T07:06:09Z</dcterms:modified>
  <cp:version>16.0300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1a8d99a3134747d3bc550f06a04426cc</vt:lpwstr>
  </property>
</Properties>
</file>